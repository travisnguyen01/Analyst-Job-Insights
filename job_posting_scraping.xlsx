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default.LAPTOP-ED8J0DFS\Downloads\"/>
    </mc:Choice>
  </mc:AlternateContent>
  <xr:revisionPtr revIDLastSave="0" documentId="13_ncr:1_{F5A763F3-044D-4A08-AAAF-F37B46ED323E}" xr6:coauthVersionLast="47" xr6:coauthVersionMax="47" xr10:uidLastSave="{00000000-0000-0000-0000-000000000000}"/>
  <bookViews>
    <workbookView xWindow="5364" yWindow="3720" windowWidth="17280" windowHeight="9960" xr2:uid="{00000000-000D-0000-FFFF-FFFF00000000}"/>
  </bookViews>
  <sheets>
    <sheet name="scraped_data" sheetId="2" r:id="rId1"/>
    <sheet name="highest_demand_skills" sheetId="1" r:id="rId2"/>
  </sheets>
  <calcPr calcId="191029"/>
  <pivotCaches>
    <pivotCache cacheId="0"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 l="1"/>
  <c r="C4" i="1"/>
  <c r="C5" i="1"/>
  <c r="C6" i="1"/>
  <c r="C2" i="1"/>
</calcChain>
</file>

<file path=xl/sharedStrings.xml><?xml version="1.0" encoding="utf-8"?>
<sst xmlns="http://schemas.openxmlformats.org/spreadsheetml/2006/main" count="273" uniqueCount="141">
  <si>
    <t>Skill</t>
  </si>
  <si>
    <t>Count</t>
  </si>
  <si>
    <t>Excel</t>
  </si>
  <si>
    <t>Tableau</t>
  </si>
  <si>
    <t>Power BI</t>
  </si>
  <si>
    <t>Python</t>
  </si>
  <si>
    <t>Perecentage</t>
  </si>
  <si>
    <t>SQL</t>
  </si>
  <si>
    <t>entry level</t>
  </si>
  <si>
    <t>excel</t>
  </si>
  <si>
    <t>on-site</t>
  </si>
  <si>
    <t>Be a part of the nationwide law enforcement initiative that removes the tools of crime from criminal organizations, depriving wrongdoers of proceeds from their crime and impacting the infrastructure of criminal enterprises. 
FSA Federal (FSA) is focused on delivering unsurpassed services in support of law enforcement and homeland security. We currently have a vacancy for a Junior Financial Analyst. In this role, you will be supporting the overall mission of the U.S. Marshals Service (USMS). 
Responsibilities
Provides quality control and reconciliation of computer databases containing financial and compliance records.
Checks accounting practices for compliance with Federal laws and regulations (e.g., Single Audit Act), generally accepted Government accounting practices (GAP), and relevant Office Management and Budget (OMB) circulars.
Reviews and analyzes annual financial statements to ensure compliance with laws, regulations, program policies, and procedures, and makes recommendations for corrective actions if findings indicate improper or illegal expenditures and accounting funds.
Evaluates logistics and operations of audit and certification program to maximize efficiencies and streamline program review.
Creates draft budget requests for office operations.
Performs other duties as assigned.
,
Requirements
 Bachelor's degree in Accounting, Finance, Business Administration or related field, or High School Diploma/GED with at least four years related experience
 General knowledge of financial statements 
 Strong organizational and prioritization skills
 Excellent communication skills; oral and written
 Experience with the Microsoft Office suite of applications (Excel, PowerPoint, Word) and other common software applications and databases, to include financial systems
 Strong attention to detail; meticulous data entry skills
 Proven commitment and competence to provide excellent customer service; positive and flexible
 Ability to work in a team environment and maintain a professional disposition</t>
  </si>
  <si>
    <t>Salary</t>
  </si>
  <si>
    <t>Seattle, WA</t>
  </si>
  <si>
    <t>FSA</t>
  </si>
  <si>
    <t>Junior Financial Analyst Supporting the USMS</t>
  </si>
  <si>
    <t>LinkedIn</t>
  </si>
  <si>
    <t>About the role:
Review and reconcile reports, transactions by comparing and correcting data.
Create tracking metrics and reports including but not limited to quarterly forecasts and quarterly operating reports among others in compliance with contractual terms Manage day-to-day operation to support business operations for internal cross-functional communications.
Analyze process improvement opportunities such as developing automated reporting templates/ applications Contribute to team efforts by accomplishing ad hoc work as needed
Key responsibilities:
Assist account manager/sales team to meet the performance target to provide an efficient and comprehensive service
Support account manager/sales team in handling of inquiries, orders, issues, shipment, tracking, reports, and general follow-up
Works cross functionally with manufacturing and management teams and resolving issues timely as required
Proactively interface with customers and serve as a point of main contact as request
Coordinate sales related activities and maintain/monitor accurate data with efficiency
Prepare sales operation reports and presentation materials as request
Support sales administrative related functions
Exercise creative thinking and apply experiences to improve processes as needed 
Minium Qualifications:
Minimum 2 years of experience in a business analyst. 
Education: BA/ BS preferred in Business, Economics, Engineering or Finance
Responsible, reliable, proactive, self-starter, and independent. 
Comfortable with fast-paced environment.
Solid communication skills. Must be able to articulate and communicate complex data information or issues to executives, external stakeholders, and internal team members. 
Required:
Outstanding analytical skills and exceptional attention to detail.
Advanced in Microsoft Excel in addition to working level knowledge of other MS Office products such as Word and PowerPoint and SAP
Experience in B2B &amp; distribution business model, tech industries preferred 
Previous experience supporting sales management preferred and bachelor’s degree preferred
Preferred Qualifications:
Self‑driven, results‑oriented sales able to manage and triage conflicting priorities under tight deadlines.
Experience working with cross‑functional teams and leading field service or project‑delivery groups.
Ability to present complex solutions clearly.
Bilingual in Mandarin is a plus.</t>
  </si>
  <si>
    <t>Bothell, WA</t>
  </si>
  <si>
    <t>Delta Electronics Americas</t>
  </si>
  <si>
    <t>Business Support Analyst</t>
  </si>
  <si>
    <t>unspecified</t>
  </si>
  <si>
    <t>remote</t>
  </si>
  <si>
    <t>Payrate: $40.00 - $42.15/hr.
Responsibilities: 
Work with large amounts of data: facts, figures, and number crunching. 
Ability to see through the data and analyze it to find conclusions. 
Look at the numbers, trends, and data and come to new conclusions based on the findings. 
Level 1 Junior level resource with some basic experience</t>
  </si>
  <si>
    <t>Hourly</t>
  </si>
  <si>
    <t>Bellevue, WA</t>
  </si>
  <si>
    <t>Aditi Consulting</t>
  </si>
  <si>
    <t>Data Analyst</t>
  </si>
  <si>
    <t>sql, excel</t>
  </si>
  <si>
    <t>This position reports directly to the Director of Finance and will be a member of the team that is responsible for financial reporting, budgeting, and analysis. Working closely with the Harbor Wholesale Finance and Accounting teams, as well as other departments within the organization, the Financial Analyst helps the Company make sound financial decisions through research and accurate analysis of financial data.
This position is onsite at Lacey, WA. This position does not offer relocation. ***
Compensation $80K - 90K DOE
Benefits Summary Benefits for Harbor Team Members include vacation, sick time, personal floating holiday, paid holidays, medical, dental, vision, and life insurance, 401(k) retirement plan with a generous employer match and some great Harbor perks
Essential Job Functions 
Evaluates financial performance by comparing and analyzing actual results with budgets and forecasts.
Assists with period end review and reconciliation of specific GL Accounts, including preparation of journal entries.
Performs financial forecasting, reporting, and operational metrics tracking.
Works closely with the Director of Finance and the business to complete timely and accurate budgets.
Analyzes past results, performs variance analysis, identifies trends, and makes recommendations for improvements.
Identifies and drives process improvements, including the creation of standard and ad-hoc reports and tools. 
Increases productivity by developing automated reporting/forecasting tools.
Creates financial modelsfor decision support.
Reconciles transactions by comparing and correcting data.
Gains and updates job knowledge to remain informed on trends in the industry.
Other duties as assigned by the Director of Finance.
Knowledge, Skills, and Abilities 
Strong analytical skills and problem-solving ability.
Proficient in Microsoft Office products with intermediate Excel skills.
Attention to detail, strong organizational skills and driven to meet deadlines.
Excellent knowledge of data analysis and forecasting methods.
Ability to work well with all levels of management and team members to foster a respectful and professional work environment.
Skill in being flexible and able to handle changing priorities over multiple priorities, tasks, and situations.
Strong communication skills, both oral and written.
Basic understanding of distribution and warehousing industries.
Ability to make timely and sound decisions while demonstrating good judgement
Education and Experience 
Bachelor’s Degree in Finance, Accounting, Business, or related field required. 
1-3 years’ experience in business finance or other relevant experience. 
Experience with Microsoft Dynamics NAV and SQL reporting a plus. 
Large company $500MM+ min volume experience preferred.</t>
  </si>
  <si>
    <t>Lacey, WA</t>
  </si>
  <si>
    <t>Harbor Foods</t>
  </si>
  <si>
    <t>Financial Analyst</t>
  </si>
  <si>
    <t>mid level</t>
  </si>
  <si>
    <t>sql, power bi</t>
  </si>
  <si>
    <t>hybrid</t>
  </si>
  <si>
    <t>As a Data Analyst in the Analytics &amp; Applications team, your work will focus on helping the Small and Medium Business organization achieve its long-term business and customer growth objectives through the creation of data analytics, insights, and reports.
You will act as a strategic partner responsible for delivering data models, insights, and analytics that impact the ability to understand our SMB ecosystem and enable the business to react quickly and drive business growth. You will develop your career, forge effective cross-functional relationships, take on progressively broader responsibilities, and establish yourself as a trusted strategic advisor. You can expect to have sponsorship for your work, support for your professional development, and encouragement to bring your authentic self to 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conduct exploratory data analysis, create data models, and develop actionable insights to enable and support decision-making for business leaders across Operations, Marketing, Finance, and Engineering.
You will leverage AI-enabled tools and automation to accelerate analysis, improve data quality, and deliver scalable self-serve insights while adhering to security and privacy requirements.
You will identify and leverage appropriate sources of data and contribute to the development of recommendations.
You’ll determine appropriate analytical techniques and critically evaluate assumptions.
You will share and simplify relevant findings and insights and ensure presented results are accessible and accurate.
You’ll support and/or consult with other teams and identify relevant data-driven recommendations.
You will recommend efficiency improvements for core work and evaluate the viability of automated data collection methods.
You will understand linkages between analytical models and contribute to the review process—and, if the model is deemed deficient—seek to determine why.
You’ll work within and across teams to ensure alignment in data sources and processes and engage stakeholders to act on opportunities.
Embody our culture and values.
Qualifications
Required :
Master's Degree in Mathematics, Analytics, Data Science, Engineering, Computer Science, Business, Economics or related field OR Bachelor's Degree in Statistics, Mathematics, Analytics, Data Science, Engineering, Computer Science, Business, Economics or related field AND 2+ years experience in data analysis and reporting, data science, business intelligence, or business and financial analysis OR equivalent experience.
Preferred
2+ years’ experience in data analysis, modelling, and visualization tools (e.g., experience with SQL and Power BI)
Strong understanding of data visualization best practices</t>
  </si>
  <si>
    <t>Redmond, WA</t>
  </si>
  <si>
    <t>Microsoft</t>
  </si>
  <si>
    <t>intern</t>
  </si>
  <si>
    <t>sql, tableau, power bi</t>
  </si>
  <si>
    <t xml:space="preserve">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
Marketing Analytics and Measurement Internship
About The Team
Magic: The Gathering is seeking a Marketing Analytics and Measurement Intern to support campaign measurement, experimentation, and executive reporting across global set launches. This role sits within the Measurement and Testing team and partners closely with Marketing and Social to design and build a best-in-class dashboard ecosystem that informs campaign strategy and tracks performance across paid, owned, and earned channels.
This is a hands-on analytics role ideal for someone who wants exposure to real-world marketing measurement, experimentation, and stakeholder-facing reporting within a global entertainment brand.
The Internship Experience
Hasbro’s Summer Internship Program offers a behind-the-scenes look at how a global play and entertainment company operates — paired with the opportunity to make a real impact.
Interns are fully embedded on their teams and trusted to own meaningful business projects aligned to team priorities. Throughout the summer, you’ll contribute to work that matters while also being part of a broader global intern cohort, gaining exposure to professional development sessions, networking opportunities, and leadership engagement designed to support your growth and learning.
What You’ll Do as a Marketing Analytics and Measurement Intern:
Partner with Measurement, Social, and Marketing teams to design and build a suite of campaign dashboards across set launches 
Develop automated reporting in Tableau and Power BI for executive, tactical, and channel-level audiences 
Write and optimize SQL queries to extract, transform, and validate marketing, social, CRM, and web performance data 
Support campaign benchmarking by tracking performance against historical launches 
Contribute to holdout test readouts and experiment analysis 
Help standardize KPIs and reporting definitions across paid, owned, and earned channels 
Translate complex data into clear visual narratives that inform leadership decisions 
What You'll Bring:
Technical Requirements
Strong SQL skills, including joins, aggregations, window functions, and data validation 
Experience building dashboards in Tableau 
Experience building reports in Power BI 
Ability to work with structured marketing datasets such as campaign performance, web analytics, and CRM data 
Strong data visualization and storytelling skills 
Preferred Qualifications
Experience with marketing analytics, experimentation, or campaign measurement 
Familiarity with digital marketing channels including paid media, social, and web analytics 
Understanding of A/B testing or basic statistical concepts 
Passion for gaming, entertainment, or Magic: The Gathering 
Ideal Candidate Traits
Analytical and detail-oriented 
Comfortable working across multiple stakeholders 
Curious and proactive in identifying insights 
Able to translate complex data into clear, executive-ready visuals 
Nice to Have
Passion for gaming, entertainment, or Magic: The Gathering 
Familiarity with digital marketing channels (paid, social, web analytics) 
Understanding of A/B testing or basic statistics 
Experience with marketing analytics, experimentation, or campaign measurement </t>
  </si>
  <si>
    <t>Renton, WA</t>
  </si>
  <si>
    <t>Wizards of the Coast</t>
  </si>
  <si>
    <t>Marketing Analytics and Measurement Internship</t>
  </si>
  <si>
    <t>sql, excel, power bi</t>
  </si>
  <si>
    <t>Early Talent Program Overview:
The Terex Early Talent Program immerses high potential students in challenging real-world projects which directly help drive business results at our global organization. Our rich beliefs in innovation and continuous improvement, paired with our students' diverse and creative mindsets, lead to the development of our best-in-class products, positively impacting the lives of people worldwide.
We are committed to the personal and professional development of our students and are proud to encourage their growth into our leaders of tomorrow.
Highlights:
Join a truly international team with teammates spread across 5 continents
Intern/Co-op opportunities can lead to full-time careers
Gain real world experience in developing finance forecasts, conducting data analysis, analyzing go to market deals, and tackling process improvement projects.
Real World Responsibilities:
As part of our team, we will provide you with real-work assignments that will provide you valuable experience as you begin your career
During your time with us you will:
Own a project focused on enhancing global cost forecast and reporting processes.
Build a dashboard which will improve global staffing solutions
Create and develop working financial models that streamline workflows and provide analytical insights. 
Support the implementation of systems and applications across the Terex landscape to create an experience that positions Finance as best in class for its customers
Assist in key projects that involve working with a global team.
Partner with Finance and cross-Functional teams to analyze, translate and document process flows / business requirements into technical requirements to define scope, benefits, cost estimate and ROI
Support and participate in monthly forecast update
Support ad hoc analysis as necessary
Must haves:
Pursuing a full-time undergraduate or graduate degree in Business Administration, Economics, Computer Science, Finance or related field or graduated within last two years
Able to work full-time 40 hours per week for 3 months in Bothell, WA office (3 days in-person, 2 days remote)
Visualization Best Practices: Ability to apply design principles to ensure dashboards are user-friendly, clear, and actionable.
Power BI Core Skills: Proficiency in creating interactive dashboards and reports using Power BI Desktop
Data Transformation: Experience using Power Query to clean, merge, and transform raw data from various sources (Excel, SQL, Cloud).
Data Modeling &amp; DAX: Understanding relational data modeling and the ability to write DAX (Data Analysis Expressions) for custom measures and KPIs.
A combination of technical proficiency in the Microsoft ecosystem, foundational data literacy, and strong communication skills to bridge the gap between technical data and business needs.
Track record of demonstrable accomplishments in school and at work
Computer skills with MS Office, Business intelligence systems, and intermediate to advanced skills in Excel
Nice to haves:
Interested in joining Leadership Development Programs after graduation
Ability to adapt and learn data systems (Oracle ERP system, OneStream, Qlik)
SQL Foundations: Basic to intermediate knowledge of SQL for querying relational databases and extracting datasets.
Portfolio: Include a link to a GitHub repository or a live Power BI portfolio showcasing at least one advanced project.
AI Integration: Conceptual understanding of using AI/Copilot to generate DAX or visuals. 
Ability to handle multiple priorities and meet deadlines
Possess strong analytical and organizational skills
Attention to detail</t>
  </si>
  <si>
    <t>Terex Corporation</t>
  </si>
  <si>
    <t>Financial Analyst Intern</t>
  </si>
  <si>
    <t>sql, python</t>
  </si>
  <si>
    <t>Stackline is the first full-funnel connected commerce platform for the world's most innovative brands. Business leaders, product innovators, performance marketers, and analysts trust Stackline as the single source of commerce truth. Fueled by our proprietary neural network, our market insights, revenue metrics, behavior analyses, and autonomous functionality create the actions that determine success or failure.
Founded in 2014 in Seattle, we have offices in Minneapolis, New York, Salt Lake City, and London. Since November 2020, Stackline has raised $180 million in strategic investments from Goldman Sachs Growth Equity and TA Associates.
Stackline is on a mission to fuel the future of commerce by bringing brands and customers closer together.
About the Role:
Join us as a Data Analyst where you will step into a dynamic role that that makes a real impact for our clients. If you are passionate about uncovering hidden insights within complex data sets and transforming raw data into actionable knowledge, then we want to talk with you! In this role you will embark on an adventure that utilized your analytical prowess to decode data, identify trends, and help shape the future of Stackline. Apply today and help us on our quest to unlock the full potential of data while contributing to meaningful change! This is a hybrid role (4 days/week in office) and is based out of our Seattle, WA office.
What You Will Do:
Conduct comprehensive dataset analyses across Stackline to extract insights, trends, and patterns utilizing mathematical, statistical, and probability methodologies.
Build and maintain data pipelines and workflows to ensure data accuracy and consistency, while identifying and rectifying errors, inconsistencies, or missing information.
Provide timely and precise responses to inquiries from both internal and external sources regarding datasets and models.
Apply technical expertise to process complex datasets, establish quality control procedures, and derive actionable insights through analytics.
Develop scalable processes for automating reports and visualizations to communicate findings effectively to stakeholders.
Collaborate with cross-functional teams to understand data requirements and address specific product questions or challenges.
Document data sources and processes for data analysis.
Who We Are Looking For:
Bachelor’s degree in Mathematics, Physics, Computer Science, or other relevant technical field.
2+ years of direct industry work experience in one or more of the following areas: data science, data analytics, or data engineering.
2+ years of experience with statistics and probability, particularly their application in systems analysis and operations research.
Demonstrated experience with Python and SQL.
Bonus Points If You Have:
Prior experience using advanced statistical tools such as SciPy or sklearn.
Prior experience with big data technologies such as Hadoop or Spark.
Demonstrated experience designing and building innovative ideas, working closely with technical teams from concept generation through implementation.
Experience working in a startup, retail, digital advertising, or e-commerce environment.</t>
  </si>
  <si>
    <t>Stackline</t>
  </si>
  <si>
    <t>Data Analyst I</t>
  </si>
  <si>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our Account Management &amp; Customer Success team, you will thrive on your ability to embrace and drive change and your commitment to ensuring you and PitchBook are always growing and improving. While continually learning and exploring new ideas and concepts, you will be inspired to ask questions and challenge the status quo while remaining focused on our customers’ success. We value teamwork and collaboration and encourage our people to build strong, trusting relationships with their teammates, customers, and partners. A contagious positivity, insatiable curiosity, and people-first attitude are the winning traits of our most successful Account Management &amp; Customer Success team members. If this sounds like you, join us!
As an Associate Data Analyst, Customer Support, you will utilize your analysis skills to interpret client data requests and deliver packaged analytics used by some of the largest private capital investors, investment banks and service providers globally. As an Associate Data Analyst, Customer Support, you will work with the support team to create complex customized reports for clients. Customer experience pain points you identify will inform product improvements and allow PitchBook to optimize the platform for customers worldwide. 
Primary Job Responsibilities
Build custom charts and visualizations using Salesforce, Excel, and SQL 
Utilize strong Microsoft Excel and SQL skills in order to provide high-quality data analysis and support to clients 
Serve as a data expert for all use cases that utilize PitchBook’s broad database
Communicate effectively, both written and verbal to ensure smooth resolution of customer requests
Manage and complete time-sensitive custom research requests for subscribing clients 
Manage and respond to inquiries from clients and internal colleagues and the general public regarding data requests and published research 
Work collaboratively with support team with an emphasis on providing guidance and expertise to Tier 1 and 2 specialists
Work continuously to document the details of each interaction in Salesforce in order to easily research customer projects and to inform product improvements 
Support the vision and values of the company through role modeling and encouraging desired behaviors 
Participate in various company initiatives and projects as requested 
Skills And Qualifications
Bachelor’s degree
1+ years of experience in financial services role or experience working with large datasets and/or 1+ years of Tier 2 Customer Support at PitchBook 
Proficient with Salesforce or similar CRM preferred 
Strong proficiency with Microsoft Excel including pivot tables and advanced formulas 
Have experience working in SQL 
Have excellent verbal and written communication skills with a keen eye for detail 
Interested in financial markets or services, particularly private equity and venture capital 
Ability to operate with a strong sense of urgency and deliver results 
Have terrific prioritization skills related to project work 
Strong understanding of financial concepts such as valuation techniques (DCF, comps, etc.), IRRs, asset allocations, etc. 
Team player with the desire to try new ideas in order to achieve greater levels of success 
Proficiency with the Microsoft Office suite including in-depth knowledge of Outlook, Word, and Excel with the ability to pick up new systems and software easily 
Must be authorized to work in the United States without the need for visa sponsorship now or in the future</t>
  </si>
  <si>
    <t>PitchBook</t>
  </si>
  <si>
    <t>Associate Data Analyst, Customer Support</t>
  </si>
  <si>
    <t>As an Associate, Customer Experience on the ACE team, you will apply data science and AI to uncover systemic drivers of executive escalations and support friction. You will design and deploy models that structure unstructured case data into scalable taxonomies, automate postmortem analyses, and surface clear root causes. This role goes beyond reporting, you will translate complex datasets into executive-ready insights and partner cross-functionally to drive measurable reductions in Overturned Rate and M Team Escalations. Success requires strong technical rigor, structured thinking, and the ability to convert analysis into durable operational and product improvements.
You’re Excited About This Opportunity Because You Will…
Deploy AI-driven solutions to identify systemic support gaps and convert unstructured case data into actionable taxonomies.
Own the development of scalable case classification models that improve visibility into root causes and reduce noise in escalation channels.
Translate complex datasets into executive-ready insights that influence product, policy, and operational decisions.
Partner cross-functionally with Product, Engineering, and Operations to close upstream gaps and prevent repeat issues at scale.
Operate at the intersection of data science and business strategy, using analytics to drive measurable customer and operational outcomes.
We’re Excited About You Because…
You bring a strong foundation in data science, statistics, or a related quantitative field, and can translate theory into practical business applications.
You are fluent in SQL and Python, and have experience working with large, messy datasets to extract structured, decision-ready insights.
You think in systems, not symptoms, and can deconstruct complex support issues into clear, root cause categories.
You are comfortable building and deploying machine learning or AI-driven models that drive measurable operational impact.
You communicate complex analyses clearly and concisely, tailoring insights for both technical and executive audiences.
You operate with a bias for action, moving from analysis to recommendation to implementation without overengineering.
You are detail-oriented, intellectually curious, and motivated by improving customer experience through scalable, data-driven solutions.
You thrive in cross-functional environments and can influence stakeholders using evidence, logic, and structured thinking.</t>
  </si>
  <si>
    <t>DoorDash</t>
  </si>
  <si>
    <t>Associate, Customer Experience- Data &amp; Strategy</t>
  </si>
  <si>
    <t>sql, excel, tableau</t>
  </si>
  <si>
    <t>We are looking for a dedicated Business Intelligence Analyst responsible for analyzing oral health data to evaluate the utilization and reimbursement of dental services and the associated costs. The role involves working closely with the clinical teams, actuaries, and other stakeholders to identify trends, develop strategies to optimize resource use, create and maintain reimbursement analytics, and improve cost-efficiency with improved patient care quality.
At Delta Dental of Washington our vision is that all people can enjoy good oral and overall health, with no one left behind. We succeed because of a shared commitment to a set of values that guide everything we do – for our customers, for our communities, and for each other. We are Accountable. We lean in with Courage. We stay Curious. We are Inclusive. We act with Integrity.
We offer a highly competitive medical, dental and vision plans as well offering a generous 401k match and all employees start accruing vacation and sick time from their very first day. We empower employee development through our tuition reimbursement plan, professional development plans, and employee-led communities.
The pay range for this position varies between $70,900.00 – $118,100.00. Washington Dental Service and its affiliates, including Delta Dental of Washington and Arcora Foundation intends to offer the selected candidate a base pay within this range, dependent on job-related, non-discriminatory factors such as experience. Base pay will also be adjusted based on the candidate's geographic location.
Essential Responsibilities include the following: The list of responsibilities listed is not intended to be comprehensive. Washington Dental Service and its affiliates, including Delta Dental of Washington and Arcora Foundation reserve the right to change the responsibilities at any time with or without notice.
Uses various analytic tools (SQL, Tableau) to perform statistical analysis and visualization of clinical and claims data to create actionable insights and support decision-making.
Analyze claims and clinical data to identify financial improvement opportunities.
Provide analytics that support metric driven goals with providers.
Analyzes provider reimbursement patterns and provides actionable data to provider facing team members.
Develop and maintain comprehensive reports on utilization trends, cost drivers and financial performance.
Collaborate with clinical teams to develop and implement utilization management protocols and best practices.
Solutions and process improvement projects to achieve operational and business goals.
Conducts provider specific fraud and abuse research.
Monitor existing metrics and develop and propose new metrics.
Stay updated with industry trends, best practices and regulatory changes related to cost and utilization of dental services.
Performs ad hoc research and analysis as needed.
Experience, skills, and education do you need to have to succeed in the position: The requirements listed below are representative of the knowledge, skill, and/or ability required to successfully perform the essential functions of the position.
Proficiency in data analysis tools and software (e.g. SSMS, SSRS, Snowflake, Excel, Tableau)
Ability to build data visualizations (e.g., Tableau).
Experience in healthcare systems, and knowledge of dental and insurance terminology.
Strong analytical and problem-solving skills with the ability to interpret complex data and provide actionable insights
Excellent communication skills, both written and verbal, with the ability to present findings to various stakeholders.
Detail-oriented with strong organizational skills.
Bachelor's degree (B. A.) from four-year College or university; and two years related experience and/or training; or equivalent combination of education and experience.</t>
  </si>
  <si>
    <t xml:space="preserve">Seattle, WA </t>
  </si>
  <si>
    <t>Delta Dental of Washington</t>
  </si>
  <si>
    <t>Business Intelligence Analyst</t>
  </si>
  <si>
    <t>About the job
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
The internship role provides in-depth exposure to SitusAMC and other areas of the business where the candidate will receive guidance and work closely with experienced professionals.
Essential Job Functions
Partner with business and technology team members to design and build targeted dashboards, reports, and data extracts
Create SQL queries to extract data from operational systems
Work with subject matter experts across multiple departments and levels of leadership to define BI requirements and strategy
Release approved stored procedures, dashboards, and reports to production and assist in operational release cycles
Develop ETL processes to import data into reporting and business intelligence architecture, in line with current data loading architecture or on an ad hoc basis
Learn, grow, and improve the team’s ability to make business intelligence a critical asset to the organization
Familiarity with AI tools (ie: Codex, Cursor )
Remote based in or driving distance of a local office: Denver, CO; St Petersburg, FL; NY, NY; Plymouth Meeting, PA; Overland Park, KS; Houston, TX; Atlanta, GA
Such other activities as may be assigned by your manager
Qualifications/ Requirements
Currently enrolled in Bachelors or Master’s program at an accredited University pursuing a degree in: Computer Science, Data Science, or related field
Intern level professional with 0-6 months of relevant project or working experience.
Proficient with Excel and Microsoft Office Suite
Experience building SQL statements
Experience with business intelligence tool</t>
  </si>
  <si>
    <t>United States</t>
  </si>
  <si>
    <t>SitusAMC</t>
  </si>
  <si>
    <t>Intern - Business Intelligence</t>
  </si>
  <si>
    <t>Join us for an incredible opportunity to become part of our Area Revenue Team as our Area Revenue Analyst! While based out of the Hyatt at Olive 8, this Area Revenue Analyst may have the opportunity support our collection of Hyatt Hotels in downtown Seattle, including also the Hyatt Regency Seattle, and/or the Grand Hyatt Seattle.
 As a   Great Place to Work in the U.S.   for twelve years running, it's an award-winning culture where you can bring your whole self to work every day, coupled with benefits that empower you to defy expectations and seek excellence. 
We are seeking a detail ‑ oriented and analytical individual to join our Revenue Management team. They will be responsible for providing essential support to the Area Director and Assistant Director of Revenue Management in optimizing Rooms and Events performance. This is an excellent opportunity for someone looking to begin a career in market analytics, pricing strategy, and hotel performance management.
Key Responsibilities
 Revenue Analysis &amp; Reporting
 Produce and maintain daily, weekly, and monthly performance reports, leveraging third ‑ party analytical tools to support data ‑ driven commercial decisions
 Analyze booking trends, market conditions, and competitive performance reports to identify opportunities and support data ‑ driven commercial strategies
 Evaluate current business strategies and identify opportunities to maximize RevPAR and RevPAS
Forecasting &amp; Strategy Support
 Support the preparation of room and event space forecasts by gathering data, updating templates, and assisting with basic analysis
 Assist with pricing, inventory, and distribution strategies by updating systems, checking rate accuracy, monitoring channel content, and completing routine data pulls
 Participate in revenue strategy meetings and contribute data-driven insights
Rate &amp; Inventory Management
 Monitor room and event space availability, restrictions, and pricing by performing regular system checks, updating information as needed, and flagging discrepancies for review
 Ensure rate accuracy and parity across all distribution channels
 Assist with loading rates, packages, and promotions into relevant systems by entering data accurately, updating details as needed, and verifying successful uploads
Group &amp; Event Support
 Review group requests by gathering key details on pricing, displacement, and basic profitability considerations.
 Coordinate with Sales on group blocks, pickup updates, and meeting space usage to ensure accurate system information.
 Assist with analyzing event space performance by compiling data, updating tracking tools, and identifying simple revenue opportunities
Cross-Department Collaboration
 Provide analytical support to Sales, Marketing, and Operations
 Assist with targeted initiatives designed to drive demand and improve business mix
 Communicate trends, risks, and opportunities to hotel leadership Qualifications
 Bachelor’s degree in Hospitality, Business, Finance, Economics, or related field preferred
 Strong analytical and problem ‑ solving skills
 Proficiency in Excel and comfort working with data
 Excellent communication and organizational abilities
 Keen interest in hospitality revenue management and commercial strategy</t>
  </si>
  <si>
    <t>Hyatt</t>
  </si>
  <si>
    <t>Area Revenue Analyst</t>
  </si>
  <si>
    <t>We are seeking a Business Analyst to support our Lease Administration team in program coordination and governance activities. This role will work with team leadership to support global governance initiatives, coordinate stakeholder engagement, and provide technical and analytical support for business needs.
Key job responsibilities
Program Support
 Monitor and report on performance metrics
 Facilitate meetings with stakeholders to gather requirements and feedback
 Coordinate program updates and contribute to business reviews
 Support ongoing program improvements
Technical Support
 Address technical requests including system access and reporting needs
 Query databases for analysis and reporting
 Support dashboard development and maintenance
 Collaborate with technology partners on system-related matters
Stakeholder Coordination
 Support team leadership including program managers and asset managers
 Facilitate communication across teams
 Build relationships with partner organizations
 Coordinate cross-functional initiatives
Analysis &amp; Reporting
 Generate reports on key metrics
 Analyze data to identify trends and opportunities
 Support data quality initiatives
 Document processes and create guidance materials Basic Qualifications
 Bachelor's degree or equivalent
 Experience using SQL
 Experience with reporting and Data Visualization tools such as Quick Sight / Tableau / Power BI or other BI packages
 Experience communicating and delivering presentations to customers, stakeholders, and/or teammates
 Experience with lease administration or related business processes
 Ability to troubleshoot basic technical issues
Preferred Qualifications
 Experience creating process documentation
 Experience defining requirements and using data and metrics to draw business insights
 Experience utilizing commercial real estate software platforms such as Tango, Yardi, or MRI
 Experience working cross-functionally with tech and non-tech teams</t>
  </si>
  <si>
    <t>Amazon Web Services</t>
  </si>
  <si>
    <t>Business Analyst</t>
  </si>
  <si>
    <t>sql, excel, python, tableau, power bi</t>
  </si>
  <si>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SYSTEMS ANALYST, SUPPLY CHAIN (STARLINK)
SpaceX is developing a low latency, broadband internet system to meet the needs of consumers across the globe. Enabled by a constellation of low Earth orbit satellites, Starlink will provide fast, reliable internet to populations with little or no connectivity, including those in rural communities and places where existing services are too expensive or unreliable. As a systems analyst within the Starlink program you will analyze, develop, and implement tactical and strategic business processes for the supply chain group to create high impact, efficient, economical solutions. Ideal team members are highly autonomous individuals that excel in flexible environments and bring clarity and informed decision-making to our leadership teams that drive the organization.
Responsibilities
Identify and analyze key performance indicators related to supply chain, especially inventory levels, lead times, supply coverage, demand fluctuations, and capacity utilization (includes developing planning models and decision-making tools)
Create dashboards, models, and other reporting tools to enable strategic visibility across supply chain, production, cross functional teams, and leadership
Identify inefficient workflows and develop scripts to automate tactical steps
Track, report, and proactively manage production efficiency improvements (e.g. supply chain initiatives and process optimizations)
Provide strategic insights and recommendations based on supply chain analysis to optimize both supplier and internal processes
Demonstrate innovation, technical excellence, attention to detail, self-direction, and courage
Drive for results and customer satisfaction by collaborating with teams, leading projects and continuously spearheading improvements in supply chain
Work with stakeholders to analyze the impact of proposed business decisions (including actual performance) on SpaceX’s business health 
Work with broader application software team to support ERP tools development &amp; supplier-facing portal enhancements
Basic Qualifications
Bachelor’s degree
1+ years of experience with SQL and business intelligence tools (e.g. Tableau, Power BI, Grafana) or programming experience
1+ years of experience in analytics, operations, management/strategy consulting, planning, product management, or related fields
Preferred Skills And Experience
Excellent analytical skills (e.g. SQL, Tableau, PowerBI, Microsoft Office suite and similar data manipulation tools)
Experience in python and scripting
Degree in data science, computer science, industrial and systems engineering, operations or supply chain management
Demonstrated success driving tangible impact/influencing within a broader organization, particularly in production or project management contexts
Demonstrated experience managing simultaneous projects with tight deadlines and navigating ambiguous problem statements
Proficient in understanding end user requirements, the ability to translate requirements into design requirements, and identifying system enhancement opportunities
Ability to work both autonomously and as a team in a highly demanding, ambiguous, and fast paced environment
Understanding of business concepts relating to supply chain management (procurement, sourcing, material movement/logistics, supplier quality, etc.)</t>
  </si>
  <si>
    <t>Woodinville, WA</t>
  </si>
  <si>
    <t>SpaceX</t>
  </si>
  <si>
    <t>Systems Analyst, Supply Chain</t>
  </si>
  <si>
    <t>sql, excel, tableau, power bi</t>
  </si>
  <si>
    <t>About the job
Company: eWaste.Pro Inc.
Location: University Place, Washington (Hybrid—Onsite &amp; Remote)
Employment Type: Full-Time
About eWaste.Pro Inc.
eWaste.Pro Inc. is a certified IT Asset Disposition (ITAD) and electronics recycling company headquartered in Washington State. We specialize in secure data destruction, refurbishment, resale, and responsible recycling of electronic equipment across the United States.
We are R2v3 and ISO certified and committed to data security, environmental responsibility, and operational excellence.
Position Overview
eWaste.Pro Inc. is seeking a highly analytical and detail-oriented Business Data Analyst to collect, organize, and analyze historical data from all previous e-waste and ITAD projects conducted across the United States.
This role will directly support executive leadership by building structured datasets, developing performance dashboards, identifying profitability trends, and driving data-informed strategic decisions.
This is a hybrid role, requiring periodic on-site collaboration at our Gig Harbor facility with remote flexibility.
Key Responsibilities
Collect, consolidate, and standardize nationwide historical project data
Analyze revenue, margins, recovery rates, logistics costs, and resale performance
Develop executive dashboards and reporting systems
Identify trends by region, asset category, and contract type
Build forecasting models and support bid pricing strategies
Present analytical insights and strategic recommendations
Maintain data integrity and reporting accuracy
Required Qualifications
Master’s degree in Data Analytics, Business Analytics, Statistics, Finance, Economics, Computer Science, or related quantitative field
Advanced proficiency in Microsoft Excel (modeling, pivot tables, data structuring)
Working knowledge of SQL
Experience with Power BI, Tableau, or similar data visualization tools
Strong analytical reasoning and ability to translate data into business insight
Excellent written and verbal communication skills</t>
  </si>
  <si>
    <t>University Place, WA</t>
  </si>
  <si>
    <t>eWaste.Pro</t>
  </si>
  <si>
    <t>Business Data Analyst (Hybrid)</t>
  </si>
  <si>
    <t>We are looking for an experienced Data Analyst to join the Returns Customer Experience team to help unlock insights which take our team to the next level. The ideal candidate will be excited about understanding and implementing new and repeatable processes, while providing data to improve the Returns transportation business. The successful candidate will have strong data mining and modeling skills and is comfortable facilitating ideas and working from concept through to execution. They will partner with various key stakeholders to deep dive into the business challenges and data to identify insights, providing recommendations for process improvement on a globally scalable level. This role requires an individual with excellent analytical abilities as well as strong business acumen.
Key job responsibilities
Retrieving and analyzing data using Excel, SQL, and other data management systems
Monitoring existing metrics, analyzing data and partnering with internal/external teams to identify process and system improvement opportunities
Design, develop and maintain scalable, automated, user-friendly systems, reports, or dashboards to enable stakeholders to manage the business and drive effective decisions
Prepare and deliver business requirements reviews to leadership teams
Excellent writing skills, to create artifacts easily digestible by business and tech partners.
Be self-driven, and show ability to deliver on ambiguous projects with incomplete data
About The Team
At Amazon Worldwide Returns &amp; ReCommerce (WW 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 R&amp;R includes business, product, program, operational, data, and software engineering teams, who together manage the lifecycle of returned and damaged products.
Basic Qualifications
 Bachelor's degree or equivalent work experience in Business, Engineering, Supply Chain, Transportation, Mathematics, Economics, Physics or another technical field
 Experience performing data analysis using MS Excel and other Microsoft Office tools
Preferred Qualifications
 Experience working with the MS Office suite (Word, Excel, Outlook) and/or SQL in a professional environment</t>
  </si>
  <si>
    <t>Amazon</t>
  </si>
  <si>
    <t>Data Analyst, RCX</t>
  </si>
  <si>
    <t>Pacific Seafood offers a unique, 13-week internship program that gives interns the chance to make an immediate impact on our company. Starting with a structured orientation week at our corporate headquarters near Portland, OR, where you’ll be able to meet the team and learn the full scope of our business. Throughout the summer months, you’ll dive deep into a meaningful project for our company, which you’ll then present to our executive leadership team at the end of your internship. For graduating seniors looking to kickstart your career, there are plenty of opportunities to stay full-time at the conclusion of your internship! Start your professional career with us, where we can invest in your development as a business professional, and build valuable leadership, work ethic, and team-work capabilities!
At Pacific Seafood, we do more than just provide the world with the healthiest proteins on the planet. We are an excellence-driven organization committed to being the brand of choice in the marketplace and the employer of choice in the community. We believe in servant leadership, investing in our team members, and rewarding performance. We live by the core values of our Diamond Philosophy: Quality, Teamwork, Productivity, and Excellence—which means consistently doing your best and always striving to do better.
Summary
We are seeking a motivated and detail-oriented intern to join our Shellfish Program team. This internship offers a unique opportunity to combine analytical skills with hands-on experience in the aquaculture industry. The intern will evaluate and model labor and processing activities across multiple locations, identify areas for improved efficiency, and use sales pricing analysis to recommend strategies that drive cost savings and operational excellence.
Key Responsibilities
Analyze labor spend by location and develop clear reporting.
Evaluate labor KPIs for each site to identify performance trends.
Determine optimal staffing levels to maximize efficiency.
Recommend creative strategies to reduce overtime and labor costs.
Assess processing workflows and identify opportunities for process improvements.
Collaborate with field teams and management to implement recommendations.
Perform other duties as assigned.
Required
What you bring to Pacific Seafood
Actively pursuing an undergraduate or graduate degree, with a graduation date no later than June of 2026, in:
Finance
Supply Chain Management
Analytics
Statistics
Natural Resource Management
Aquaculture
Or a closely related field
Strong verbal and written communication skills.
Proficiency in Microsoft Office Suite (Excel, Word, PowerPoint, Outlook).
Cumulative GPA of 3.0 or higher on a 4.0 scale.
Strong analytical and problem-solving skills with attention to detail.
Ability to work outdoors in all weather conditions.
Ability to travel between locations as needed.
Excellent communication skills for presenting findings and recommendations.
Preferred:
Experience with data analysis and KPI reporting.
Familiarity with aquaculture or natural resource operations.
Knowledge of process improvement methodologies.
Familiarity with seafood or agricultural product markets.</t>
  </si>
  <si>
    <t>South Bend, WA</t>
  </si>
  <si>
    <t>Pacific Seafood</t>
  </si>
  <si>
    <t>Business Operations Analyst Intern</t>
  </si>
  <si>
    <t>excel, power bi</t>
  </si>
  <si>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We are looking for an enthusiastic and driven Application Portfolio Analyst Intern who is passionate about learning and gaining hands-on experience in the field. As an Application Portfolio Analyst Intern, you will gain hands-on experience enabling app inventory reliability, cost transparency, and lifecycle governance to support enterprise rationalization and cost optimization at scale. This is an excellent opportunity for a current student to grow their skills and advance their career in a supportive and dynamic environment.
Responsibilities
Maintain enterprise application inventory and data quality
Consolidate/validate cost, usage, and contract data; reconcile inconsistencies
Support evidence-based rationalization analysis
Provide leadership reporting and support OCM via SharePoint hub, trainings, and reviews
Here's what you'll need
Current enrollment in a degree seeking program in Information Systems, Business Analytics, Data Analytics, Computer Science, or a closely related field
Advanced Excel experience (pivots, lookups, reconciliation)
Experience with PowerPoint
High attention to detail in documentation
Strong analytical/structured problem solving
Ideally, you'll also have
Prior internship or relevant project experience with Power BI
Prior internship or relevant project experience with SharePoint
Prior internship or relevant project experience in cost/business analytics</t>
  </si>
  <si>
    <t>Jacobs</t>
  </si>
  <si>
    <t>Application Portfolio Analyst Intern</t>
  </si>
  <si>
    <t>The Marketing Intern, Digital Analytics is responsible for supporting the Digital Team during an 8-week program held onsite at our headquarters in Issaquah, WA. This role supports the analysis, optimization, and reporting of digital product performance, while collaborating with cross-functional teams to advance data initiatives. During the 8-week period, the intern will gain hands-on experience in data-driven decision making and digital product analytics.
What Will You Be Doing?
Assist in maintaining and optimizing digital product analytics, including dashboards and performance reports.
Participate in the launch and evaluation of new product features, analyzing usage and impact.
Support product lifecycle projects by gathering, cleaning, and interpreting data to identify trends and opportunities.
Observe live research sessions, collect insights, and contribute to data-driven recommendations.
Conduct a variety of general administrative tasks for the department or departments as assigned.
Job shadow various members of the department and assist them as needed.
Help manage and prioritize an analytics idea backlog.
Participate in intern cohort activities including: professional development workshops, warehouse tours, and meetings with leadership.
May perform or support special projects.
Perform other duties as assigned.
Comply with all policies and standards.
What Are We Looking For?
Currently pursuing a Bachelor’s degree in Data analytics, Marketing, Business, Computer Science, or a related field
Strong attention to detail, organizational, analytic, and problem-solving skills
Strong desire to learn along with professional drive
Ability to take direction and absorb information quickly
Administrative skills which must include excellent verbal and written communication skills
Responsive to staff needs, including professionalism, respect and consideration of others</t>
  </si>
  <si>
    <t>Issaquah, WA</t>
  </si>
  <si>
    <t>SanMar</t>
  </si>
  <si>
    <t>Marketing Intern, Digital Analytics</t>
  </si>
  <si>
    <t>sql, tableau</t>
  </si>
  <si>
    <t>The Global e-commerce Data Science team aims to maximize the efficiency of e-commerce transactions, lead product decision-making iterations, and achieve sustainable growth in revenue with data and scientific methods, through quantitative techniques such as mathematical statistics and machine learning. This role for our US Operations team will be providing data solutions to E-commerce Operations teams to help solve interesting challenges for our Creator &amp; Merchants.
We are looking for talented individuals to join us for an internship in 2026. Internships at TikTok aim to offer students industry exposure and hands-on experience. Watch your ambitions become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Candidates can apply to a maximum of two positions and will be considered for jobs in the order you apply. The application limit is applicable to TikTok and its affiliates' jobs globally. Applications will be reviewed on a rolling basis. We encourage you to apply as early as possible. Please state your availability clearly in your resume (Start date, End date).
Summer Start Dates:
 May 11th, 2026
 May 18th, 2026
 May 26th, 2026
 June 8th, 2026
 June 22nd, 2026
Online Assessment
Candidates who pass resume screening will be invited to participate in TikTok's technical online assessment.
Responsibilities:
 Develop metrics and dashboard to measure business performance;
 Identify trend and pattern from data and provide attribution of metric movement;
 Provide actionable insights to drive the growth of business and improvement of operational efficiency.
Qualifications
Minimum Qualifications:
 Currently pursuing a Bachelor's or Master's Degree in quantitative fields such as statistics, engineering, economics, etc;
 To succeed in the role, you need to be a proactive, self-driven and impact driven person;
 Be able to work with cross-functional teams in a fast speed environment;
 Must be able to commit to a 12-week full-time work period during Summer or Fall 2026.
Preferred Qualifications:
 Proficient in SQL and one of the main data visualization tools such as tableau;
 E-commerce or online marketplace experience is strongly preferred.</t>
  </si>
  <si>
    <t>TikTok</t>
  </si>
  <si>
    <t>Data Analyst Intern</t>
  </si>
  <si>
    <t>sql, excel, python, tableau</t>
  </si>
  <si>
    <t>Job Title: Business Insights &amp; Analytics Intern
Department: Business Strategy &amp; Analytics
Reports To: Analytics Engineer
Summary
The Business Insights &amp; Analytics Intern will support the Business Strategy &amp; Analytics (BSA) team by transforming data into clear, actionable insights that inform decision‑making across the organization. This role blends advanced analytics and data science techniques with foundational business analysis, requiring strong analytical thinking, curiosity and the ability to communicate insights to both technical and non‑technical stakeholders. The intern will partner closely with BSA teammates to scope problems, gather requirements and deliver insights that drive measurable business impact.
ESSENTIAL DUTIES AND RESPONSIBILITIES include the following. Other duties may be assigned.
Analyze structured, semi‑structured and unstructured data to identify trends, patterns and opportunities, translating findings into actionable business insights and recommendations
Apply advanced analytics and data science techniques (e.g., statistical analysis, predictive modeling, segmentation) where appropriate, alongside foundational business analysis methods
Support data cleaning, validation and curation efforts to ensure high‑quality, analysis‑ready datasets for reporting and insight generation
Partner with stakeholders to scope analytical problems, gather business requirements and define success metrics aligned to organizational objectives
Develop clear, compelling analyses and visualizations that effectively communicate insights to technical and non‑technical audiences
Assist with ad hoc analyses, data cleaning, dashboards and insight delivery in support of strategic initiatives
EDUCATION AND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Be currently enrolled as a junior, senior or recent graduate (within 6 months) from a college or university. Graduate school students are eligible to apply as well
Coursework or experience in analytics, data science, statistics, economics, business, computer science or a related field
Demonstrated ability to analyze data and synthesize findings into clear, actionable business insights; familiarity with SQL, Tableau, Python, Excel or similar tools is preferred
Strong problem‑solving, communication and organizational skills, with the ability to work independently and collaboratively in a fast‑paced environment
Demonstrated initiative, intellectual curiosity and a self‑starter mindset, with experience navigating ambiguity and taking ownership of work in an environment that translates to a professional sports business setting</t>
  </si>
  <si>
    <t>Seattle Seahawks</t>
  </si>
  <si>
    <t>Business Insights &amp; Analytics Intern</t>
  </si>
  <si>
    <t>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FTE: 1.0, Shift: Day, Schedule: Office Hours
Position Summary
The incumbent is responsible for supporting MHS organizational performance through facilitation and coordination of improvement activities that contribute to developing MHS leaders and their ability to succeed in direct alignment with the MHS mission, vision, and key organizational priorities. The scope of this function will be in both the operations of business processes and clinical practice areas throughout MultiCare Health System. The goal of this position is to extend OE Consultant capacity. Day to day work assignments and performance management will be handled by OE Consultant.
Requirements
Currently enrolled in Bachelor’s degree program
Upper division coursework towards Bachelors’ degree in relevant subject matter (e.g. Process Improvement, Operations Management, Quality, Supply Chain)
Facilitation/performance improvement experience (class projects, work experiences) or training
Knowledge of change management models and concepts preferred
Training, coursework or experience facilitating problem solving work sessions, or experience working in a corporate environment where these tools and methods were used preferred
Experience working in corporate environment preferred</t>
  </si>
  <si>
    <t>Tacoma, WA</t>
  </si>
  <si>
    <t>MultiCare Health System</t>
  </si>
  <si>
    <t>Data Analytics Intern</t>
  </si>
  <si>
    <t xml:space="preserve">About the job
Workforce Classification:
Hybrid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
As the CI-Ops Information Analyst Intern, you will join the Customer Implementation and Core Operations (CI-Ops) team working on real business problems through data analytics, reporting, and process improvement. You will partner closely with business and technical teams to improve access to data, modernize reporting, and support efforts to streamline manual processes. Your work will directly supports Premera’s mission by improving how teams access, analyze, and use information to make better decisions and operate more efficiently.
Program Details and Requirements: 
Premera’s Summer Internship Program is June 15th – August 21st 2026. 
To be eligible for the program, you must currently be enrolled in either an undergraduate or graduate degree program or have recently obtained your degree (within the last 12 months). 
This is a hybrid internship program located on our campus in Mountlake Terrace, WA. 
Internship Projects and Goals:
Developing or enhancing reports and dashboards to support operational and leadership decision making. 
Improving access to data by helping surface, organize, and analyze operational, policy, or configuration information. 
Performing data analysis to identify trends, gaps, or insights that inform business decisions. 
Identifying manual or repetitive processes and supporting efforts to streamline or automate them. 
Supporting efforts to make data more actionable and usable across the organization. 
What You Will Bring:  
Currently pursuing or recently completed a Bachelor’s or Master’s degree in a relevant field (e.g., Data Analytics, Informatics, Information Systems, Business Analytics, or similar). 
Strong interest in data, analytics, and reporting. 
Comfort working with data and learning new tools and systems. 
Ability to work independently and solve problems with minimal direction. 
Strong communication and analytical skills. </t>
  </si>
  <si>
    <t>Mountlake Terrace, WA</t>
  </si>
  <si>
    <t>Premera Blue Cross</t>
  </si>
  <si>
    <t>CI-Ops Information Analyst Intern</t>
  </si>
  <si>
    <t>About the job
We are seeking a motivated ‘system-thinker’ to join our team for an internship focused on establishing a 'model' system for signaling, ordering, and delivery of materials to our factory for assembly of best-in-class test and measurement equipment. This internship offers a unique opportunity to gain hands-on experience in optimizing supply chain operations.
Responsibilities
Work on efforts to optimize supply chain operations.
Assess current business processes and identify opportunities for improvement.
Build and maintain key relationships with the supply chain team and internal customers, focusing on customer success.
Experience a day in the life of a supply chain professional.
Qualifications
Actively pursuing a bachelor’s degree from an accredited college or university in a relevant field of study, graduating December 2026 or later. 
Excellent written and verbal communication skills, with confidence in presenting to both large and small groups.
Process-oriented with a curiosity about organizational change and continuous improvement.
Strong interpersonal and multitasking skills, with the ability to balance competing priorities.
Familiarity with Microsoft Excel, including spreadsheets and formulas to work with large data sets and pivot tables.
Resourceful and creative in overcoming obstacles and turning challenges into opportunities.
A problem-solving mindset with a curiosity for finding innovative solutions</t>
  </si>
  <si>
    <t>Everett, WA</t>
  </si>
  <si>
    <t>Fluke Corporation</t>
  </si>
  <si>
    <t>Supply Chain Intern</t>
  </si>
  <si>
    <t>The Global Payment team of ByteDance provides payment solutions - including payment acquisitions, disbursements, transaction monitoring, payment method management, foreign exchange conversion, accounting, reconciliations, and so on to ensure that our users have a smooth and secure payment experience on ByteDance platforms including TikTok.
About The Team
The Payment Network team in Global Payment ensures a secure, professional and efficient overseas payment solution, helping businesses to unblock payment channels and effectively assisting overseas business and product expansion. This includes tasks such as building general service capabilities, payment instruction orchestration engine, etc.
We are seeking a mission-driven and analytically-minded intern. Your primary focus will be on improving the core metrics that build trust and drive growth. You will dive deep into our operational data to identify levers for improvement, coordinate with cross-functional teams to implement changes, and measure the impact of those changes on our customers' confidence. This is a role for a future strategist and operator.
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
Successful candidates must be able to commit to an onboarding date by end of year 2026. Please state your availability and graduation date clearly in your resume.
Responsibilities:
 Analyze key performance indicators (KPIs) such as Adoption rate, Penetration rate, Claim Rate, Claim Resolution Time, Customer Trust Score, "Buy" Click Conversion Lift, and Seller Retention.
 Conduct A/B tests on the presentation of our protection services (e.g., messaging, badges, placement) and measure their direct impact on sales conversion and average order value.
 Analyze how the usage of our services correlates with seller health metrics (e.g., repeat business, store growth). Develop insights to help the Sales and Onboarding teams sell the growth benefits, not just the risk mitigation.
 Map the user journey to file a claim. Identify drop-off points and collaborate with Product and Engineering to streamline the process, turning a negative experience into a moment of delight and trust-building.
 Act as a central coordinator between Business, Product, Data Science, Risk, and Customer Service teams to drive metric improvement projects.
Qualifications
Minimum Qualifications
 Currently pursuing a Bachelor's or Master's degree in Business, Economics, Analytics, Operations, or a related field.
 Strong analytical and problem-solving skills; proficient in Excel and basic data analysis.
 Excellent communication and interpersonal skills, with a talent for coordinating between different teams.
 Intellectually curious, proactive, and passionate about using data to build customer trust.
Preferred Qualifications
 Experience with SQL or a willingness to learn quickly.
 Interest in e-commerce, fintech, InsurTech, or trust and safety platforms.
Job Information
【For Pay Transparency】Compensation Description (Hourly) - Campus Intern
The hourly rate range for this position in the selected city is $33.25- $33.25.</t>
  </si>
  <si>
    <t>ByteDance</t>
  </si>
  <si>
    <t>Insurance Operations Project Intern</t>
  </si>
  <si>
    <t>Indeed</t>
  </si>
  <si>
    <t>Salute is a leading provider of cutting-edge Data Center Infrastructure Services, dedicated to serving data center clients worldwide. We pride ourselves on delivering sustainable solutions, unparalleled reliability, and outstanding customer service. As we continue to grow, we are seeking a dynamic and experienced Data Analyst Intern to join our team and drive our relationships with hyperscale clients to new heights.
A Data Analyst Intern supports the delivery of analytics initiatives for Salute's data center clients by assisting with data preparation, validation, analysis, dashboard development, and reporting. This internship provides practical exposure to real-world energy and performance datasets while contributing to active client and internal projects.
Working under the mentorship of senior analysts and program leadership, the intern will assist in transforming complex sustainability and infrastructure data into structured outputs that support informed decision-making. This role is designed to provide meaningful project experience, technical skill development, and insight into analytics within the data center and sustainability engineering industry.
The Data Analyst Intern will work with the team to:
Assist in developing and maintaining dashboards, dataflows, and reporting tools that support client energy and sustainability programs
Assist in identifying trends and performance insights across client portfolios
Contribute to analytics initiatives aligned with program goals
The role will have supervised access to client datasets, APIs, and internal toolsets, while learning industry best practices in energy analytics and data governance.
DUTIES AND RESPONSIBILITIES
Assist in cleaning, organizing, and validating energy and building performance datasets to ensure accuracy and reliability.
Support the development and maintenance of dashboards, dataflows, and recurring performance reports using tools such as Power BI.
Perform assigned analytical tasks under guidance to support client deliverables and internal initiatives.
Document data sources, assumptions, and methodologies to promote clarity and reproducibility.
Conduct quality checks following established data management standards.
Contribute to ongoing projects by completing assigned deliverables on schedule.
Collaborate with Energy &amp; Sustainability team members to support project objectives.
Learn and apply Salute’s internal analytics platforms, reporting standards, and processes.
Support continuous improvement initiatives, including workflow optimization and automation efforts where appropriate.
Participate in team meetings, training sessions, and structured professional development activities throughout the internship.
MINIMUM QUALIFICATIONS
Currently pursuing a Bachelor’s degree in engineering, data analytics, computer science, sustainability, environmental science, related field.
Rising junior or senior preferred.
Foundational knowledge of data analysis tools such as Python, R, or SQL.
Familiarity with data visualization tools such as Power BI or Tableau plus.
Strong analytical thinking skills and attention to detail.
Demonstrated interest in sustainability, energy efficiency, or data center infrastructure.
Strong written and verbal communication skills.
Eagerness to learn new tools, systems, and industry concepts.
PREFERRED QUALIFICATIONS
Academic or internship experience applying data analysis to real or simulated datasets.
Experience cleaning and transforming datasets.
Experience building dashboards, visualizations, or analytical reports.
Familiarity with time-series data analysis.
Experience using Microsoft Excel for data analysis, Microsoft PowerPoint for presentations, &amp; Microsoft Word for creating reports.
Exposure to sustainability, building systems, mechanical/electrical engineering, or energy modeling concepts is a plus.
Familiarity with predictive analytics or basic machine learning concepts is a plus.
Previous exposure to BMS systems or Modbus protocols is a plus but not required.</t>
  </si>
  <si>
    <t>Salute</t>
  </si>
  <si>
    <t>Role Level</t>
  </si>
  <si>
    <t>Skills</t>
  </si>
  <si>
    <t>Work Type</t>
  </si>
  <si>
    <t>Source</t>
  </si>
  <si>
    <t>Description</t>
  </si>
  <si>
    <t>Salary Type</t>
  </si>
  <si>
    <t>Maximum Salary</t>
  </si>
  <si>
    <t>Minimum Salary</t>
  </si>
  <si>
    <t>Location</t>
  </si>
  <si>
    <t>Company</t>
  </si>
  <si>
    <t>Job Title</t>
  </si>
  <si>
    <t>Column Labels</t>
  </si>
  <si>
    <t>Average of Maximum Salary</t>
  </si>
  <si>
    <t>Average of Minimum Salary</t>
  </si>
  <si>
    <t>Entry Level</t>
  </si>
  <si>
    <t>Mid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</si>
</sst>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3" x14ac:knownFonts="1">
    <font>
      <sz val="11"/>
      <color theme="1"/>
      <name val="Calibri"/>
      <family val="2"/>
      <scheme val="minor"/>
    </font>
    <font>
      <b/>
      <sz val="11"/>
      <name val="Calibri"/>
      <family val="2"/>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6">
    <xf numFmtId="0" fontId="0" fillId="0" borderId="0" xfId="0"/>
    <xf numFmtId="0" fontId="1" fillId="0" borderId="1" xfId="0" applyFont="1" applyBorder="1" applyAlignment="1">
      <alignment horizontal="center" vertical="top"/>
    </xf>
    <xf numFmtId="9" fontId="0" fillId="0" borderId="0" xfId="1" applyFont="1"/>
    <xf numFmtId="0" fontId="0" fillId="0" borderId="0" xfId="0" pivotButton="1"/>
    <xf numFmtId="164" fontId="0" fillId="0" borderId="0" xfId="0" applyNumberFormat="1"/>
    <xf numFmtId="165"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Ranges by Role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scraped_data!$N$8</c:f>
              <c:strCache>
                <c:ptCount val="1"/>
                <c:pt idx="0">
                  <c:v>Entry Level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scraped_data!$O$7:$P$7</c:f>
              <c:strCache>
                <c:ptCount val="2"/>
                <c:pt idx="0">
                  <c:v>Minimum Salary</c:v>
                </c:pt>
                <c:pt idx="1">
                  <c:v>Maximum Salary</c:v>
                </c:pt>
              </c:strCache>
            </c:strRef>
          </c:cat>
          <c:val>
            <c:numRef>
              <c:f>scraped_data!$O$8:$P$8</c:f>
              <c:numCache>
                <c:formatCode>"$"#,##0</c:formatCode>
                <c:ptCount val="2"/>
                <c:pt idx="0">
                  <c:v>61958.909090909088</c:v>
                </c:pt>
                <c:pt idx="1">
                  <c:v>81989.559090909097</c:v>
                </c:pt>
              </c:numCache>
            </c:numRef>
          </c:val>
          <c:extLst>
            <c:ext xmlns:c16="http://schemas.microsoft.com/office/drawing/2014/chart" uri="{C3380CC4-5D6E-409C-BE32-E72D297353CC}">
              <c16:uniqueId val="{00000000-16F2-441B-8356-F00BD71057FC}"/>
            </c:ext>
          </c:extLst>
        </c:ser>
        <c:ser>
          <c:idx val="1"/>
          <c:order val="1"/>
          <c:tx>
            <c:strRef>
              <c:f>scraped_data!$N$9</c:f>
              <c:strCache>
                <c:ptCount val="1"/>
                <c:pt idx="0">
                  <c:v>Mid Level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scraped_data!$O$7:$P$7</c:f>
              <c:strCache>
                <c:ptCount val="2"/>
                <c:pt idx="0">
                  <c:v>Minimum Salary</c:v>
                </c:pt>
                <c:pt idx="1">
                  <c:v>Maximum Salary</c:v>
                </c:pt>
              </c:strCache>
            </c:strRef>
          </c:cat>
          <c:val>
            <c:numRef>
              <c:f>scraped_data!$O$9:$P$9</c:f>
              <c:numCache>
                <c:formatCode>"$"#,##0</c:formatCode>
                <c:ptCount val="2"/>
                <c:pt idx="0">
                  <c:v>78233.333333333328</c:v>
                </c:pt>
                <c:pt idx="1">
                  <c:v>123266.66666666667</c:v>
                </c:pt>
              </c:numCache>
            </c:numRef>
          </c:val>
          <c:extLst>
            <c:ext xmlns:c16="http://schemas.microsoft.com/office/drawing/2014/chart" uri="{C3380CC4-5D6E-409C-BE32-E72D297353CC}">
              <c16:uniqueId val="{00000001-16F2-441B-8356-F00BD71057FC}"/>
            </c:ext>
          </c:extLst>
        </c:ser>
        <c:dLbls>
          <c:dLblPos val="outEnd"/>
          <c:showLegendKey val="0"/>
          <c:showVal val="1"/>
          <c:showCatName val="0"/>
          <c:showSerName val="0"/>
          <c:showPercent val="0"/>
          <c:showBubbleSize val="0"/>
        </c:dLbls>
        <c:gapWidth val="219"/>
        <c:overlap val="-27"/>
        <c:axId val="510376832"/>
        <c:axId val="510378272"/>
      </c:barChart>
      <c:catAx>
        <c:axId val="5103768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10378272"/>
        <c:crosses val="autoZero"/>
        <c:auto val="1"/>
        <c:lblAlgn val="ctr"/>
        <c:lblOffset val="100"/>
        <c:noMultiLvlLbl val="0"/>
      </c:catAx>
      <c:valAx>
        <c:axId val="510378272"/>
        <c:scaling>
          <c:orientation val="minMax"/>
        </c:scaling>
        <c:delete val="1"/>
        <c:axPos val="l"/>
        <c:numFmt formatCode="&quot;$&quot;#,##0" sourceLinked="1"/>
        <c:majorTickMark val="none"/>
        <c:minorTickMark val="none"/>
        <c:tickLblPos val="nextTo"/>
        <c:crossAx val="510376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In-Demand</a:t>
            </a:r>
            <a:r>
              <a:rPr lang="en-US" baseline="0"/>
              <a:t> Skills (Job Postings)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highest_demand_skills!$C$1</c:f>
              <c:strCache>
                <c:ptCount val="1"/>
                <c:pt idx="0">
                  <c:v>Perecentage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highest_demand_skills!$A$2:$A$6</c:f>
              <c:strCache>
                <c:ptCount val="5"/>
                <c:pt idx="0">
                  <c:v>Excel</c:v>
                </c:pt>
                <c:pt idx="1">
                  <c:v>SQL</c:v>
                </c:pt>
                <c:pt idx="2">
                  <c:v>Tableau</c:v>
                </c:pt>
                <c:pt idx="3">
                  <c:v>Power BI</c:v>
                </c:pt>
                <c:pt idx="4">
                  <c:v>Python</c:v>
                </c:pt>
              </c:strCache>
            </c:strRef>
          </c:cat>
          <c:val>
            <c:numRef>
              <c:f>highest_demand_skills!$C$2:$C$6</c:f>
              <c:numCache>
                <c:formatCode>0%</c:formatCode>
                <c:ptCount val="5"/>
                <c:pt idx="0">
                  <c:v>0.66666666666666663</c:v>
                </c:pt>
                <c:pt idx="1">
                  <c:v>0.62962962962962965</c:v>
                </c:pt>
                <c:pt idx="2">
                  <c:v>0.29629629629629628</c:v>
                </c:pt>
                <c:pt idx="3">
                  <c:v>0.29629629629629628</c:v>
                </c:pt>
                <c:pt idx="4">
                  <c:v>0.18518518518518517</c:v>
                </c:pt>
              </c:numCache>
            </c:numRef>
          </c:val>
          <c:extLst>
            <c:ext xmlns:c16="http://schemas.microsoft.com/office/drawing/2014/chart" uri="{C3380CC4-5D6E-409C-BE32-E72D297353CC}">
              <c16:uniqueId val="{00000000-A483-4A35-AD9C-7BC6E76E6762}"/>
            </c:ext>
          </c:extLst>
        </c:ser>
        <c:dLbls>
          <c:showLegendKey val="0"/>
          <c:showVal val="0"/>
          <c:showCatName val="0"/>
          <c:showSerName val="0"/>
          <c:showPercent val="0"/>
          <c:showBubbleSize val="0"/>
        </c:dLbls>
        <c:gapWidth val="120"/>
        <c:axId val="200821056"/>
        <c:axId val="200821536"/>
      </c:barChart>
      <c:catAx>
        <c:axId val="20082105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200821536"/>
        <c:crosses val="autoZero"/>
        <c:auto val="1"/>
        <c:lblAlgn val="ctr"/>
        <c:lblOffset val="100"/>
        <c:noMultiLvlLbl val="0"/>
      </c:catAx>
      <c:valAx>
        <c:axId val="200821536"/>
        <c:scaling>
          <c:orientation val="minMax"/>
        </c:scaling>
        <c:delete val="1"/>
        <c:axPos val="t"/>
        <c:numFmt formatCode="0%" sourceLinked="1"/>
        <c:majorTickMark val="none"/>
        <c:minorTickMark val="none"/>
        <c:tickLblPos val="nextTo"/>
        <c:crossAx val="200821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281940</xdr:colOff>
      <xdr:row>9</xdr:row>
      <xdr:rowOff>34290</xdr:rowOff>
    </xdr:from>
    <xdr:to>
      <xdr:col>15</xdr:col>
      <xdr:colOff>1584960</xdr:colOff>
      <xdr:row>24</xdr:row>
      <xdr:rowOff>175260</xdr:rowOff>
    </xdr:to>
    <xdr:graphicFrame macro="">
      <xdr:nvGraphicFramePr>
        <xdr:cNvPr id="3" name="Chart 2">
          <a:extLst>
            <a:ext uri="{FF2B5EF4-FFF2-40B4-BE49-F238E27FC236}">
              <a16:creationId xmlns:a16="http://schemas.microsoft.com/office/drawing/2014/main" id="{1BACA7DF-8515-28F1-52FC-8846C0528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220980</xdr:colOff>
      <xdr:row>0</xdr:row>
      <xdr:rowOff>0</xdr:rowOff>
    </xdr:from>
    <xdr:to>
      <xdr:col>11</xdr:col>
      <xdr:colOff>121920</xdr:colOff>
      <xdr:row>16</xdr:row>
      <xdr:rowOff>80010</xdr:rowOff>
    </xdr:to>
    <xdr:graphicFrame macro="">
      <xdr:nvGraphicFramePr>
        <xdr:cNvPr id="3" name="Chart 2">
          <a:extLst>
            <a:ext uri="{FF2B5EF4-FFF2-40B4-BE49-F238E27FC236}">
              <a16:creationId xmlns:a16="http://schemas.microsoft.com/office/drawing/2014/main" id="{6CE29AA5-0FEE-76AE-8B05-B9AFB0047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129540</xdr:colOff>
      <xdr:row>0</xdr:row>
      <xdr:rowOff>0</xdr:rowOff>
    </xdr:from>
    <xdr:to>
      <xdr:col>16</xdr:col>
      <xdr:colOff>274320</xdr:colOff>
      <xdr:row>16</xdr:row>
      <xdr:rowOff>83820</xdr:rowOff>
    </xdr:to>
    <xdr:sp macro="" textlink="">
      <xdr:nvSpPr>
        <xdr:cNvPr id="4" name="TextBox 3">
          <a:extLst>
            <a:ext uri="{FF2B5EF4-FFF2-40B4-BE49-F238E27FC236}">
              <a16:creationId xmlns:a16="http://schemas.microsoft.com/office/drawing/2014/main" id="{35CB542C-0073-B159-E88F-1C0829059B95}"/>
            </a:ext>
          </a:extLst>
        </xdr:cNvPr>
        <xdr:cNvSpPr txBox="1"/>
      </xdr:nvSpPr>
      <xdr:spPr>
        <a:xfrm>
          <a:off x="6987540" y="0"/>
          <a:ext cx="3192780" cy="300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Across 27 job postings</a:t>
          </a:r>
          <a:r>
            <a:rPr lang="en-US" sz="1400" baseline="0"/>
            <a:t> (intern to mid-level), Excel (67%) and SQL (63%) were the most commonly required skills. Tableau and Power BI tie at 30%, while Python is less common at 19%.</a:t>
          </a:r>
        </a:p>
        <a:p>
          <a:endParaRPr lang="en-US" sz="1400" baseline="0"/>
        </a:p>
        <a:p>
          <a:r>
            <a:rPr lang="en-US" sz="1400"/>
            <a:t>These findings suggest learning</a:t>
          </a:r>
          <a:r>
            <a:rPr lang="en-US" sz="1400" baseline="0"/>
            <a:t> Excel and SQL should be prioritized to be competitive for internships and entry level positions. While Python can be beneficial, it's not mandatory based on only 19% of job postings requiring it.</a:t>
          </a:r>
          <a:endParaRPr lang="en-US"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fault" refreshedDate="46113.55534467593" createdVersion="8" refreshedVersion="8" minRefreshableVersion="3" recordCount="27" xr:uid="{16603738-28A8-4C5F-9E45-C127DCFD3787}">
  <cacheSource type="worksheet">
    <worksheetSource ref="A1:K28" sheet="scraped_data"/>
  </cacheSource>
  <cacheFields count="11">
    <cacheField name="Job Title" numFmtId="0">
      <sharedItems count="25">
        <s v="Data Analyst Intern"/>
        <s v="Insurance Operations Project Intern"/>
        <s v="Supply Chain Intern"/>
        <s v="CI-Ops Information Analyst Intern"/>
        <s v="Data Analytics Intern"/>
        <s v="Business Insights &amp; Analytics Intern"/>
        <s v="Marketing Intern, Digital Analytics"/>
        <s v="Application Portfolio Analyst Intern"/>
        <s v="Business Operations Analyst Intern"/>
        <s v="Data Analyst, RCX"/>
        <s v="Business Data Analyst (Hybrid)"/>
        <s v="Systems Analyst, Supply Chain"/>
        <s v="Business Analyst"/>
        <s v="Area Revenue Analyst"/>
        <s v="Intern - Business Intelligence"/>
        <s v="Business Intelligence Analyst"/>
        <s v="Associate, Customer Experience- Data &amp; Strategy"/>
        <s v="Associate Data Analyst, Customer Support"/>
        <s v="Data Analyst I"/>
        <s v="Financial Analyst Intern"/>
        <s v="Marketing Analytics and Measurement Internship"/>
        <s v="Data Analyst"/>
        <s v="Financial Analyst"/>
        <s v="Business Support Analyst"/>
        <s v="Junior Financial Analyst Supporting the USMS"/>
      </sharedItems>
    </cacheField>
    <cacheField name="Company" numFmtId="0">
      <sharedItems/>
    </cacheField>
    <cacheField name="Location" numFmtId="0">
      <sharedItems/>
    </cacheField>
    <cacheField name="Minimum Salary" numFmtId="0">
      <sharedItems containsString="0" containsBlank="1" containsNumber="1" minValue="21.39" maxValue="89000" count="21">
        <n v="25"/>
        <n v="33.25"/>
        <m/>
        <n v="22.75"/>
        <n v="21.39"/>
        <n v="28"/>
        <n v="89000"/>
        <n v="85000"/>
        <n v="82000"/>
        <n v="66100"/>
        <n v="22.5"/>
        <n v="70900"/>
        <n v="64600"/>
        <n v="75000"/>
        <n v="26"/>
        <n v="34"/>
        <n v="85100"/>
        <n v="80900"/>
        <n v="40"/>
        <n v="70000"/>
        <n v="62580"/>
      </sharedItems>
    </cacheField>
    <cacheField name="Maximum Salary" numFmtId="0">
      <sharedItems containsString="0" containsBlank="1" containsNumber="1" minValue="21.39" maxValue="169800" count="22">
        <n v="25"/>
        <n v="33.25"/>
        <m/>
        <n v="22.75"/>
        <n v="52.25"/>
        <n v="21.39"/>
        <n v="43"/>
        <n v="150000"/>
        <n v="120000"/>
        <n v="97600"/>
        <n v="95700"/>
        <n v="118100"/>
        <n v="95000"/>
        <n v="75000"/>
        <n v="105000"/>
        <n v="26"/>
        <n v="40"/>
        <n v="169800"/>
        <n v="90000"/>
        <n v="42.15"/>
        <n v="85000"/>
        <n v="70400"/>
      </sharedItems>
    </cacheField>
    <cacheField name="Salary Type" numFmtId="0">
      <sharedItems/>
    </cacheField>
    <cacheField name="Description" numFmtId="0">
      <sharedItems longText="1"/>
    </cacheField>
    <cacheField name="Source" numFmtId="0">
      <sharedItems containsBlank="1"/>
    </cacheField>
    <cacheField name="Work Type" numFmtId="0">
      <sharedItems/>
    </cacheField>
    <cacheField name="Skills" numFmtId="0">
      <sharedItems count="13">
        <s v="sql, excel, python, tableau, power bi"/>
        <s v="sql, excel"/>
        <s v="excel"/>
        <s v="unspecified"/>
        <s v="sql, excel, python, tableau"/>
        <s v="sql, tableau"/>
        <s v="excel, power bi"/>
        <s v="sql, excel, tableau, power bi"/>
        <s v="sql, tableau, power bi"/>
        <s v="sql, excel, tableau"/>
        <s v="sql, python"/>
        <s v="sql, excel, power bi"/>
        <s v="sql, power bi"/>
      </sharedItems>
    </cacheField>
    <cacheField name="Role Level" numFmtId="0">
      <sharedItems count="3">
        <s v="intern"/>
        <s v="entry level"/>
        <s v="mid leve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s v="Salute"/>
    <s v="Seattle, WA"/>
    <x v="0"/>
    <x v="0"/>
    <s v="Hourly"/>
    <s v="Salute is a leading provider of cutting-edge Data Center Infrastructure Services, dedicated to serving data center clients worldwide. We pride ourselves on delivering sustainable solutions, unparalleled reliability, and outstanding customer service. As we continue to grow, we are seeking a dynamic and experienced Data Analyst Intern to join our team and drive our relationships with hyperscale clients to new heights._x000a__x000a_A Data Analyst Intern supports the delivery of analytics initiatives for Salute's data center clients by assisting with data preparation, validation, analysis, dashboard development, and reporting. This internship provides practical exposure to real-world energy and performance datasets while contributing to active client and internal projects._x000a__x000a_Working under the mentorship of senior analysts and program leadership, the intern will assist in transforming complex sustainability and infrastructure data into structured outputs that support informed decision-making. This role is designed to provide meaningful project experience, technical skill development, and insight into analytics within the data center and sustainability engineering industry._x000a__x000a_The Data Analyst Intern will work with the team to:_x000a__x000a_Assist in developing and maintaining dashboards, dataflows, and reporting tools that support client energy and sustainability programs_x000a_Assist in identifying trends and performance insights across client portfolios_x000a_Contribute to analytics initiatives aligned with program goals_x000a_The role will have supervised access to client datasets, APIs, and internal toolsets, while learning industry best practices in energy analytics and data governance._x000a__x000a_DUTIES AND RESPONSIBILITIES_x000a__x000a_Assist in cleaning, organizing, and validating energy and building performance datasets to ensure accuracy and reliability._x000a_Support the development and maintenance of dashboards, dataflows, and recurring performance reports using tools such as Power BI._x000a_Perform assigned analytical tasks under guidance to support client deliverables and internal initiatives._x000a_Document data sources, assumptions, and methodologies to promote clarity and reproducibility._x000a_Conduct quality checks following established data management standards._x000a_Contribute to ongoing projects by completing assigned deliverables on schedule._x000a_Collaborate with Energy &amp; Sustainability team members to support project objectives._x000a_Learn and apply Salute’s internal analytics platforms, reporting standards, and processes._x000a_Support continuous improvement initiatives, including workflow optimization and automation efforts where appropriate._x000a_Participate in team meetings, training sessions, and structured professional development activities throughout the internship._x000a_MINIMUM QUALIFICATIONS_x000a__x000a_Currently pursuing a Bachelor’s degree in engineering, data analytics, computer science, sustainability, environmental science, related field._x000a_Rising junior or senior preferred._x000a_Foundational knowledge of data analysis tools such as Python, R, or SQL._x000a_Familiarity with data visualization tools such as Power BI or Tableau plus._x000a_Strong analytical thinking skills and attention to detail._x000a_Demonstrated interest in sustainability, energy efficiency, or data center infrastructure._x000a_Strong written and verbal communication skills._x000a_Eagerness to learn new tools, systems, and industry concepts._x000a_PREFERRED QUALIFICATIONS_x000a__x000a_Academic or internship experience applying data analysis to real or simulated datasets._x000a_Experience cleaning and transforming datasets._x000a_Experience building dashboards, visualizations, or analytical reports._x000a_Familiarity with time-series data analysis._x000a_Experience using Microsoft Excel for data analysis, Microsoft PowerPoint for presentations, &amp; Microsoft Word for creating reports._x000a_Exposure to sustainability, building systems, mechanical/electrical engineering, or energy modeling concepts is a plus._x000a_Familiarity with predictive analytics or basic machine learning concepts is a plus._x000a_Previous exposure to BMS systems or Modbus protocols is a plus but not required."/>
    <s v="Indeed"/>
    <s v="unspecified"/>
    <x v="0"/>
    <x v="0"/>
  </r>
  <r>
    <x v="1"/>
    <s v="ByteDance"/>
    <s v="Seattle, WA"/>
    <x v="1"/>
    <x v="1"/>
    <s v="Hourly"/>
    <s v="The Global Payment team of ByteDance provides payment solutions - including payment acquisitions, disbursements, transaction monitoring, payment method management, foreign exchange conversion, accounting, reconciliations, and so on to ensure that our users have a smooth and secure payment experience on ByteDance platforms including TikTok._x000a__x000a_About The Team_x000a__x000a_The Payment Network team in Global Payment ensures a secure, professional and efficient overseas payment solution, helping businesses to unblock payment channels and effectively assisting overseas business and product expansion. This includes tasks such as building general service capabilities, payment instruction orchestration engine, etc._x000a__x000a_We are seeking a mission-driven and analytically-minded intern. Your primary focus will be on improving the core metrics that build trust and drive growth. You will dive deep into our operational data to identify levers for improvement, coordinate with cross-functional teams to implement changes, and measure the impact of those changes on our customers' confidence. This is a role for a future strategist and operator._x000a__x000a_As a project intern, you will have the opportunity to engage in impactful short-term projects that provide you with a glimpse of professional real-world experience. You will gain practical skills through on-the-job learning in a fast-paced work environment and develop a deeper understanding of your career interests._x000a__x000a_Successful candidates must be able to commit to an onboarding date by end of year 2026. Please state your availability and graduation date clearly in your resume._x000a__x000a_Responsibilities:_x000a__x000a_ Analyze key performance indicators (KPIs) such as Adoption rate, Penetration rate, Claim Rate, Claim Resolution Time, Customer Trust Score, &quot;Buy&quot; Click Conversion Lift, and Seller Retention._x000a_ Conduct A/B tests on the presentation of our protection services (e.g., messaging, badges, placement) and measure their direct impact on sales conversion and average order value._x000a_ Analyze how the usage of our services correlates with seller health metrics (e.g., repeat business, store growth). Develop insights to help the Sales and Onboarding teams sell the growth benefits, not just the risk mitigation._x000a_ Map the user journey to file a claim. Identify drop-off points and collaborate with Product and Engineering to streamline the process, turning a negative experience into a moment of delight and trust-building._x000a_ Act as a central coordinator between Business, Product, Data Science, Risk, and Customer Service teams to drive metric improvement projects._x000a__x000a__x000a_Qualifications_x000a__x000a_Minimum Qualifications_x000a__x000a_ Currently pursuing a Bachelor's or Master's degree in Business, Economics, Analytics, Operations, or a related field._x000a_ Strong analytical and problem-solving skills; proficient in Excel and basic data analysis._x000a_ Excellent communication and interpersonal skills, with a talent for coordinating between different teams._x000a_ Intellectually curious, proactive, and passionate about using data to build customer trust._x000a__x000a__x000a_Preferred Qualifications_x000a__x000a_ Experience with SQL or a willingness to learn quickly._x000a_ Interest in e-commerce, fintech, InsurTech, or trust and safety platforms._x000a__x000a__x000a_Job Information_x000a__x000a_【For Pay Transparency】Compensation Description (Hourly) - Campus Intern_x000a__x000a_The hourly rate range for this position in the selected city is $33.25- $33.25."/>
    <s v="LinkedIn"/>
    <s v="unspecified"/>
    <x v="1"/>
    <x v="0"/>
  </r>
  <r>
    <x v="2"/>
    <s v="Fluke Corporation"/>
    <s v="Everett, WA"/>
    <x v="2"/>
    <x v="2"/>
    <s v="unspecified"/>
    <s v="About the job_x000a_We are seeking a motivated ‘system-thinker’ to join our team for an internship focused on establishing a 'model' system for signaling, ordering, and delivery of materials to our factory for assembly of best-in-class test and measurement equipment. This internship offers a unique opportunity to gain hands-on experience in optimizing supply chain operations._x000a__x000a_Responsibilities_x000a__x000a_Work on efforts to optimize supply chain operations._x000a_Assess current business processes and identify opportunities for improvement._x000a_Build and maintain key relationships with the supply chain team and internal customers, focusing on customer success._x000a_Experience a day in the life of a supply chain professional._x000a__x000a_Qualifications_x000a__x000a_Actively pursuing a bachelor’s degree from an accredited college or university in a relevant field of study, graduating December 2026 or later. _x000a_Excellent written and verbal communication skills, with confidence in presenting to both large and small groups._x000a_Process-oriented with a curiosity about organizational change and continuous improvement._x000a_Strong interpersonal and multitasking skills, with the ability to balance competing priorities._x000a_Familiarity with Microsoft Excel, including spreadsheets and formulas to work with large data sets and pivot tables._x000a_Resourceful and creative in overcoming obstacles and turning challenges into opportunities._x000a_A problem-solving mindset with a curiosity for finding innovative solutions"/>
    <s v="LinkedIn"/>
    <s v="on-site"/>
    <x v="2"/>
    <x v="0"/>
  </r>
  <r>
    <x v="3"/>
    <s v="Premera Blue Cross"/>
    <s v="Mountlake Terrace, WA"/>
    <x v="2"/>
    <x v="2"/>
    <s v="unspecified"/>
    <s v="About the job_x000a_Workforce Classification:_x000a__x000a_Hybrid_x000a__x000a_Join Our Team: Do Meaningful Work and Improve People’s Lives _x000a__x000a_Our purpose, to improve customers’ lives by making healthcare work better, is far from ordinary. And so are our employees. Working at Premera means you have the opportunity to drive real change by transforming healthcare._x000a__x000a_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_x000a__x000a_Learn how Premera supports our members, customers and the communities that we serve through our Healthsource blog: https://healthsource.premera.com/._x000a__x000a_As the CI-Ops Information Analyst Intern, you will join the Customer Implementation and Core Operations (CI-Ops) team working on real business problems through data analytics, reporting, and process improvement. You will partner closely with business and technical teams to improve access to data, modernize reporting, and support efforts to streamline manual processes. Your work will directly supports Premera’s mission by improving how teams access, analyze, and use information to make better decisions and operate more efficiently._x000a__x000a_Program Details and Requirements: _x000a__x000a_Premera’s Summer Internship Program is June 15th – August 21st 2026. _x000a_To be eligible for the program, you must currently be enrolled in either an undergraduate or graduate degree program or have recently obtained your degree (within the last 12 months). _x000a_This is a hybrid internship program located on our campus in Mountlake Terrace, WA. _x000a__x000a_Internship Projects and Goals:_x000a__x000a_Developing or enhancing reports and dashboards to support operational and leadership decision making. _x000a_Improving access to data by helping surface, organize, and analyze operational, policy, or configuration information. _x000a_Performing data analysis to identify trends, gaps, or insights that inform business decisions. _x000a_Identifying manual or repetitive processes and supporting efforts to streamline or automate them. _x000a_Supporting efforts to make data more actionable and usable across the organization. _x000a__x000a_What You Will Bring:  _x000a__x000a_Currently pursuing or recently completed a Bachelor’s or Master’s degree in a relevant field (e.g., Data Analytics, Informatics, Information Systems, Business Analytics, or similar). _x000a_Strong interest in data, analytics, and reporting. _x000a_Comfort working with data and learning new tools and systems. _x000a_Ability to work independently and solve problems with minimal direction. _x000a_Strong communication and analytical skills. "/>
    <s v="LinkedIn"/>
    <s v="hybrid"/>
    <x v="3"/>
    <x v="0"/>
  </r>
  <r>
    <x v="4"/>
    <s v="MultiCare Health System"/>
    <s v="Tacoma, WA"/>
    <x v="2"/>
    <x v="2"/>
    <s v="unspecified"/>
    <s v="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_x000a__x000a_FTE: 1.0, Shift: Day, Schedule: Office Hours_x000a__x000a_Position Summary_x000a__x000a_The incumbent is responsible for supporting MHS organizational performance through facilitation and coordination of improvement activities that contribute to developing MHS leaders and their ability to succeed in direct alignment with the MHS mission, vision, and key organizational priorities. The scope of this function will be in both the operations of business processes and clinical practice areas throughout MultiCare Health System. The goal of this position is to extend OE Consultant capacity. Day to day work assignments and performance management will be handled by OE Consultant._x000a__x000a_Requirements_x000a__x000a_Currently enrolled in Bachelor’s degree program_x000a_Upper division coursework towards Bachelors’ degree in relevant subject matter (e.g. Process Improvement, Operations Management, Quality, Supply Chain)_x000a_Facilitation/performance improvement experience (class projects, work experiences) or training_x000a_Knowledge of change management models and concepts preferred_x000a_Training, coursework or experience facilitating problem solving work sessions, or experience working in a corporate environment where these tools and methods were used preferred_x000a_Experience working in corporate environment preferred"/>
    <s v="LinkedIn"/>
    <s v="remote"/>
    <x v="3"/>
    <x v="0"/>
  </r>
  <r>
    <x v="5"/>
    <s v="Seattle Seahawks"/>
    <s v="Renton, WA"/>
    <x v="3"/>
    <x v="3"/>
    <s v="Hourly"/>
    <s v="Job Title: Business Insights &amp; Analytics Intern_x000a__x000a_Department: Business Strategy &amp; Analytics_x000a__x000a_Reports To: Analytics Engineer_x000a__x000a_Summary_x000a__x000a_The Business Insights &amp; Analytics Intern will support the Business Strategy &amp; Analytics (BSA) team by transforming data into clear, actionable insights that inform decision‑making across the organization. This role blends advanced analytics and data science techniques with foundational business analysis, requiring strong analytical thinking, curiosity and the ability to communicate insights to both technical and non‑technical stakeholders. The intern will partner closely with BSA teammates to scope problems, gather requirements and deliver insights that drive measurable business impact._x000a__x000a_ESSENTIAL DUTIES AND RESPONSIBILITIES include the following. Other duties may be assigned._x000a__x000a_Analyze structured, semi‑structured and unstructured data to identify trends, patterns and opportunities, translating findings into actionable business insights and recommendations_x000a_Apply advanced analytics and data science techniques (e.g., statistical analysis, predictive modeling, segmentation) where appropriate, alongside foundational business analysis methods_x000a_Support data cleaning, validation and curation efforts to ensure high‑quality, analysis‑ready datasets for reporting and insight generation_x000a_Partner with stakeholders to scope analytical problems, gather business requirements and define success metrics aligned to organizational objectives_x000a_Develop clear, compelling analyses and visualizations that effectively communicate insights to technical and non‑technical audiences_x000a_Assist with ad hoc analyses, data cleaning, dashboards and insight delivery in support of strategic initiatives_x000a__x000a_EDUCATION AND QUALIFICATIONS _x000a__x000a_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_x000a__x000a_Be currently enrolled as a junior, senior or recent graduate (within 6 months) from a college or university. Graduate school students are eligible to apply as well_x000a_Coursework or experience in analytics, data science, statistics, economics, business, computer science or a related field_x000a_Demonstrated ability to analyze data and synthesize findings into clear, actionable business insights; familiarity with SQL, Tableau, Python, Excel or similar tools is preferred_x000a_Strong problem‑solving, communication and organizational skills, with the ability to work independently and collaboratively in a fast‑paced environment_x000a_Demonstrated initiative, intellectual curiosity and a self‑starter mindset, with experience navigating ambiguity and taking ownership of work in an environment that translates to a professional sports business setting"/>
    <s v="LinkedIn"/>
    <s v="on-site"/>
    <x v="4"/>
    <x v="0"/>
  </r>
  <r>
    <x v="0"/>
    <s v="TikTok"/>
    <s v="Seattle, WA"/>
    <x v="1"/>
    <x v="4"/>
    <s v="Hourly"/>
    <s v="The Global e-commerce Data Science team aims to maximize the efficiency of e-commerce transactions, lead product decision-making iterations, and achieve sustainable growth in revenue with data and scientific methods, through quantitative techniques such as mathematical statistics and machine learning. This role for our US Operations team will be providing data solutions to E-commerce Operations teams to help solve interesting challenges for our Creator &amp; Merchants._x000a__x000a_We are looking for talented individuals to join us for an internship in 2026. Internships at TikTok aim to offer students industry exposure and hands-on experience. Watch your ambitions become reality as your inspiration brings infinite opportunities at TikTok._x000a__x000a_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_x000a__x000a_Candidates can apply to a maximum of two positions and will be considered for jobs in the order you apply. The application limit is applicable to TikTok and its affiliates' jobs globally. Applications will be reviewed on a rolling basis. We encourage you to apply as early as possible. Please state your availability clearly in your resume (Start date, End date)._x000a__x000a_Summer Start Dates:_x000a__x000a_ May 11th, 2026_x000a_ May 18th, 2026_x000a_ May 26th, 2026_x000a_ June 8th, 2026_x000a_ June 22nd, 2026_x000a__x000a_Online Assessment_x000a__x000a_Candidates who pass resume screening will be invited to participate in TikTok's technical online assessment._x000a__x000a_Responsibilities:_x000a__x000a_ Develop metrics and dashboard to measure business performance;_x000a_ Identify trend and pattern from data and provide attribution of metric movement;_x000a_ Provide actionable insights to drive the growth of business and improvement of operational efficiency._x000a__x000a_Qualifications_x000a__x000a_Minimum Qualifications:_x000a__x000a_ Currently pursuing a Bachelor's or Master's Degree in quantitative fields such as statistics, engineering, economics, etc;_x000a_ To succeed in the role, you need to be a proactive, self-driven and impact driven person;_x000a_ Be able to work with cross-functional teams in a fast speed environment;_x000a_ Must be able to commit to a 12-week full-time work period during Summer or Fall 2026._x000a__x000a_Preferred Qualifications:_x000a__x000a_ Proficient in SQL and one of the main data visualization tools such as tableau;_x000a_ E-commerce or online marketplace experience is strongly preferred."/>
    <s v="LinkedIn"/>
    <s v="unspecified"/>
    <x v="5"/>
    <x v="0"/>
  </r>
  <r>
    <x v="6"/>
    <s v="SanMar"/>
    <s v="Issaquah, WA"/>
    <x v="4"/>
    <x v="5"/>
    <s v="Hourly"/>
    <s v="The Marketing Intern, Digital Analytics is responsible for supporting the Digital Team during an 8-week program held onsite at our headquarters in Issaquah, WA. This role supports the analysis, optimization, and reporting of digital product performance, while collaborating with cross-functional teams to advance data initiatives. During the 8-week period, the intern will gain hands-on experience in data-driven decision making and digital product analytics._x000a__x000a_What Will You Be Doing?_x000a__x000a_Assist in maintaining and optimizing digital product analytics, including dashboards and performance reports._x000a_Participate in the launch and evaluation of new product features, analyzing usage and impact._x000a_Support product lifecycle projects by gathering, cleaning, and interpreting data to identify trends and opportunities._x000a_Observe live research sessions, collect insights, and contribute to data-driven recommendations._x000a_Conduct a variety of general administrative tasks for the department or departments as assigned._x000a_Job shadow various members of the department and assist them as needed._x000a_Help manage and prioritize an analytics idea backlog._x000a_Participate in intern cohort activities including: professional development workshops, warehouse tours, and meetings with leadership._x000a_May perform or support special projects._x000a_Perform other duties as assigned._x000a_Comply with all policies and standards._x000a__x000a_What Are We Looking For?_x000a__x000a_Currently pursuing a Bachelor’s degree in Data analytics, Marketing, Business, Computer Science, or a related field_x000a_Strong attention to detail, organizational, analytic, and problem-solving skills_x000a_Strong desire to learn along with professional drive_x000a_Ability to take direction and absorb information quickly_x000a_Administrative skills which must include excellent verbal and written communication skills_x000a_Responsive to staff needs, including professionalism, respect and consideration of others"/>
    <s v="LinkedIn"/>
    <s v="hybrid"/>
    <x v="2"/>
    <x v="0"/>
  </r>
  <r>
    <x v="7"/>
    <s v="Jacobs"/>
    <s v="Seattle, WA"/>
    <x v="2"/>
    <x v="2"/>
    <s v="unspecified"/>
    <s v="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_x000a__x000a_Your impact_x000a__x000a_We are looking for an enthusiastic and driven Application Portfolio Analyst Intern who is passionate about learning and gaining hands-on experience in the field. As an Application Portfolio Analyst Intern, you will gain hands-on experience enabling app inventory reliability, cost transparency, and lifecycle governance to support enterprise rationalization and cost optimization at scale. This is an excellent opportunity for a current student to grow their skills and advance their career in a supportive and dynamic environment._x000a__x000a_Responsibilities_x000a__x000a_Maintain enterprise application inventory and data quality_x000a_Consolidate/validate cost, usage, and contract data; reconcile inconsistencies_x000a_Support evidence-based rationalization analysis_x000a_Provide leadership reporting and support OCM via SharePoint hub, trainings, and reviews_x000a__x000a__x000a_Here's what you'll need_x000a__x000a_Current enrollment in a degree seeking program in Information Systems, Business Analytics, Data Analytics, Computer Science, or a closely related field_x000a_Advanced Excel experience (pivots, lookups, reconciliation)_x000a_Experience with PowerPoint_x000a_High attention to detail in documentation_x000a_Strong analytical/structured problem solving_x000a__x000a__x000a_Ideally, you'll also have_x000a__x000a_Prior internship or relevant project experience with Power BI_x000a_Prior internship or relevant project experience with SharePoint_x000a_Prior internship or relevant project experience in cost/business analytics"/>
    <s v="LinkedIn"/>
    <s v="hybrid"/>
    <x v="6"/>
    <x v="0"/>
  </r>
  <r>
    <x v="8"/>
    <s v="Pacific Seafood"/>
    <s v="South Bend, WA"/>
    <x v="2"/>
    <x v="2"/>
    <s v="unspecified"/>
    <s v="Pacific Seafood offers a unique, 13-week internship program that gives interns the chance to make an immediate impact on our company. Starting with a structured orientation week at our corporate headquarters near Portland, OR, where you’ll be able to meet the team and learn the full scope of our business. Throughout the summer months, you’ll dive deep into a meaningful project for our company, which you’ll then present to our executive leadership team at the end of your internship. For graduating seniors looking to kickstart your career, there are plenty of opportunities to stay full-time at the conclusion of your internship! Start your professional career with us, where we can invest in your development as a business professional, and build valuable leadership, work ethic, and team-work capabilities!_x000a__x000a_At Pacific Seafood, we do more than just provide the world with the healthiest proteins on the planet. We are an excellence-driven organization committed to being the brand of choice in the marketplace and the employer of choice in the community. We believe in servant leadership, investing in our team members, and rewarding performance. We live by the core values of our Diamond Philosophy: Quality, Teamwork, Productivity, and Excellence—which means consistently doing your best and always striving to do better._x000a__x000a_Summary_x000a__x000a_We are seeking a motivated and detail-oriented intern to join our Shellfish Program team. This internship offers a unique opportunity to combine analytical skills with hands-on experience in the aquaculture industry. The intern will evaluate and model labor and processing activities across multiple locations, identify areas for improved efficiency, and use sales pricing analysis to recommend strategies that drive cost savings and operational excellence._x000a__x000a_Key Responsibilities_x000a__x000a_Analyze labor spend by location and develop clear reporting._x000a_Evaluate labor KPIs for each site to identify performance trends._x000a_Determine optimal staffing levels to maximize efficiency._x000a_Recommend creative strategies to reduce overtime and labor costs._x000a_Assess processing workflows and identify opportunities for process improvements._x000a_Collaborate with field teams and management to implement recommendations._x000a_Perform other duties as assigned._x000a__x000a_Required_x000a__x000a_What you bring to Pacific Seafood_x000a__x000a_Actively pursuing an undergraduate or graduate degree, with a graduation date no later than June of 2026, in:_x000a_Finance_x000a_Supply Chain Management_x000a_Analytics_x000a_Statistics_x000a_Natural Resource Management_x000a_Aquaculture_x000a_Or a closely related field_x000a_Strong verbal and written communication skills._x000a_Proficiency in Microsoft Office Suite (Excel, Word, PowerPoint, Outlook)._x000a_Cumulative GPA of 3.0 or higher on a 4.0 scale._x000a_Strong analytical and problem-solving skills with attention to detail._x000a_Ability to work outdoors in all weather conditions._x000a_Ability to travel between locations as needed._x000a_Excellent communication skills for presenting findings and recommendations._x000a_Preferred:_x000a__x000a_Experience with data analysis and KPI reporting._x000a_Familiarity with aquaculture or natural resource operations._x000a_Knowledge of process improvement methodologies._x000a_Familiarity with seafood or agricultural product markets."/>
    <s v="LinkedIn"/>
    <s v="on-site"/>
    <x v="2"/>
    <x v="0"/>
  </r>
  <r>
    <x v="9"/>
    <s v="Amazon"/>
    <s v="Bellevue, WA"/>
    <x v="5"/>
    <x v="6"/>
    <s v="Hourly"/>
    <s v="We are looking for an experienced Data Analyst to join the Returns Customer Experience team to help unlock insights which take our team to the next level. The ideal candidate will be excited about understanding and implementing new and repeatable processes, while providing data to improve the Returns transportation business. The successful candidate will have strong data mining and modeling skills and is comfortable facilitating ideas and working from concept through to execution. They will partner with various key stakeholders to deep dive into the business challenges and data to identify insights, providing recommendations for process improvement on a globally scalable level. This role requires an individual with excellent analytical abilities as well as strong business acumen._x000a__x000a_Key job responsibilities_x000a__x000a_Retrieving and analyzing data using Excel, SQL, and other data management systems_x000a_Monitoring existing metrics, analyzing data and partnering with internal/external teams to identify process and system improvement opportunities_x000a_Design, develop and maintain scalable, automated, user-friendly systems, reports, or dashboards to enable stakeholders to manage the business and drive effective decisions_x000a_Prepare and deliver business requirements reviews to leadership teams_x000a_Excellent writing skills, to create artifacts easily digestible by business and tech partners._x000a_Be self-driven, and show ability to deliver on ambiguous projects with incomplete data_x000a__x000a_About The Team_x000a__x000a_At Amazon Worldwide Returns &amp; ReCommerce (WW R&amp;R), we aspire to zero: zero cost of returns, zero waste, and zero defects._x000a__x000a_We are an agile, innovative organization dedicated to ‘making zero happen’ to benefit our customers, company, and environment. We are constantly innovating to create long-term value at Amazon by investing in the future and focusing on the planet, not just on the bottom line. WW R&amp;R includes business, product, program, operational, data, and software engineering teams, who together manage the lifecycle of returned and damaged products._x000a__x000a_Basic Qualifications_x000a__x000a_ Bachelor's degree or equivalent work experience in Business, Engineering, Supply Chain, Transportation, Mathematics, Economics, Physics or another technical field_x000a_ Experience performing data analysis using MS Excel and other Microsoft Office tools_x000a__x000a_Preferred Qualifications_x000a__x000a_ Experience working with the MS Office suite (Word, Excel, Outlook) and/or SQL in a professional environment"/>
    <s v="LinkedIn"/>
    <s v="on-site"/>
    <x v="1"/>
    <x v="1"/>
  </r>
  <r>
    <x v="10"/>
    <s v="eWaste.Pro"/>
    <s v="University Place, WA"/>
    <x v="6"/>
    <x v="7"/>
    <s v="Salary"/>
    <s v="About the job_x000a_Company: eWaste.Pro Inc._x000a_Location: University Place, Washington (Hybrid—Onsite &amp; Remote)_x000a_Employment Type: Full-Time_x000a__x000a__x000a_About eWaste.Pro Inc._x000a__x000a__x000a_eWaste.Pro Inc. is a certified IT Asset Disposition (ITAD) and electronics recycling company headquartered in Washington State. We specialize in secure data destruction, refurbishment, resale, and responsible recycling of electronic equipment across the United States._x000a_We are R2v3 and ISO certified and committed to data security, environmental responsibility, and operational excellence._x000a__x000a__x000a_Position Overview_x000a__x000a__x000a_eWaste.Pro Inc. is seeking a highly analytical and detail-oriented Business Data Analyst to collect, organize, and analyze historical data from all previous e-waste and ITAD projects conducted across the United States._x000a_This role will directly support executive leadership by building structured datasets, developing performance dashboards, identifying profitability trends, and driving data-informed strategic decisions._x000a_This is a hybrid role, requiring periodic on-site collaboration at our Gig Harbor facility with remote flexibility._x000a__x000a__x000a_Key Responsibilities_x000a__x000a__x000a_Collect, consolidate, and standardize nationwide historical project data_x000a_Analyze revenue, margins, recovery rates, logistics costs, and resale performance_x000a_Develop executive dashboards and reporting systems_x000a_Identify trends by region, asset category, and contract type_x000a_Build forecasting models and support bid pricing strategies_x000a_Present analytical insights and strategic recommendations_x000a_Maintain data integrity and reporting accuracy_x000a__x000a__x000a_Required Qualifications_x000a__x000a__x000a_Master’s degree in Data Analytics, Business Analytics, Statistics, Finance, Economics, Computer Science, or related quantitative field_x000a_Advanced proficiency in Microsoft Excel (modeling, pivot tables, data structuring)_x000a_Working knowledge of SQL_x000a_Experience with Power BI, Tableau, or similar data visualization tools_x000a_Strong analytical reasoning and ability to translate data into business insight_x000a_Excellent written and verbal communication skills"/>
    <s v="LinkedIn"/>
    <s v="hybrid"/>
    <x v="7"/>
    <x v="1"/>
  </r>
  <r>
    <x v="11"/>
    <s v="SpaceX"/>
    <s v="Woodinville, WA"/>
    <x v="7"/>
    <x v="8"/>
    <s v="Salary"/>
    <s v="SpaceX was founded under the belief that a future where humanity is out exploring the stars is fundamentally more exciting than one where we are not. Today SpaceX is actively developing the technologies to make this possible, with the ultimate goal of enabling human life on Mars._x000a__x000a_SYSTEMS ANALYST, SUPPLY CHAIN (STARLINK)_x000a__x000a_SpaceX is developing a low latency, broadband internet system to meet the needs of consumers across the globe. Enabled by a constellation of low Earth orbit satellites, Starlink will provide fast, reliable internet to populations with little or no connectivity, including those in rural communities and places where existing services are too expensive or unreliable. As a systems analyst within the Starlink program you will analyze, develop, and implement tactical and strategic business processes for the supply chain group to create high impact, efficient, economical solutions. Ideal team members are highly autonomous individuals that excel in flexible environments and bring clarity and informed decision-making to our leadership teams that drive the organization._x000a__x000a_Responsibilities_x000a__x000a_Identify and analyze key performance indicators related to supply chain, especially inventory levels, lead times, supply coverage, demand fluctuations, and capacity utilization (includes developing planning models and decision-making tools)_x000a_Create dashboards, models, and other reporting tools to enable strategic visibility across supply chain, production, cross functional teams, and leadership_x000a_Identify inefficient workflows and develop scripts to automate tactical steps_x000a_Track, report, and proactively manage production efficiency improvements (e.g. supply chain initiatives and process optimizations)_x000a_Provide strategic insights and recommendations based on supply chain analysis to optimize both supplier and internal processes_x000a_Demonstrate innovation, technical excellence, attention to detail, self-direction, and courage_x000a_Drive for results and customer satisfaction by collaborating with teams, leading projects and continuously spearheading improvements in supply chain_x000a_Work with stakeholders to analyze the impact of proposed business decisions (including actual performance) on SpaceX’s business health _x000a_Work with broader application software team to support ERP tools development &amp; supplier-facing portal enhancements_x000a__x000a_Basic Qualifications_x000a__x000a_Bachelor’s degree_x000a_1+ years of experience with SQL and business intelligence tools (e.g. Tableau, Power BI, Grafana) or programming experience_x000a_1+ years of experience in analytics, operations, management/strategy consulting, planning, product management, or related fields_x000a__x000a_Preferred Skills And Experience_x000a__x000a_Excellent analytical skills (e.g. SQL, Tableau, PowerBI, Microsoft Office suite and similar data manipulation tools)_x000a_Experience in python and scripting_x000a_Degree in data science, computer science, industrial and systems engineering, operations or supply chain management_x000a_Demonstrated success driving tangible impact/influencing within a broader organization, particularly in production or project management contexts_x000a_Demonstrated experience managing simultaneous projects with tight deadlines and navigating ambiguous problem statements_x000a_Proficient in understanding end user requirements, the ability to translate requirements into design requirements, and identifying system enhancement opportunities_x000a_Ability to work both autonomously and as a team in a highly demanding, ambiguous, and fast paced environment_x000a_Understanding of business concepts relating to supply chain management (procurement, sourcing, material movement/logistics, supplier quality, etc.)"/>
    <s v="LinkedIn"/>
    <s v="on-site"/>
    <x v="0"/>
    <x v="1"/>
  </r>
  <r>
    <x v="12"/>
    <s v="Amazon Web Services"/>
    <s v="Seattle, WA"/>
    <x v="8"/>
    <x v="9"/>
    <s v="Salary"/>
    <s v="We are seeking a Business Analyst to support our Lease Administration team in program coordination and governance activities. This role will work with team leadership to support global governance initiatives, coordinate stakeholder engagement, and provide technical and analytical support for business needs._x000a__x000a_Key job responsibilities_x000a__x000a_Program Support_x000a__x000a_ Monitor and report on performance metrics_x000a_ Facilitate meetings with stakeholders to gather requirements and feedback_x000a_ Coordinate program updates and contribute to business reviews_x000a_ Support ongoing program improvements_x000a__x000a_Technical Support_x000a__x000a_ Address technical requests including system access and reporting needs_x000a_ Query databases for analysis and reporting_x000a_ Support dashboard development and maintenance_x000a_ Collaborate with technology partners on system-related matters_x000a__x000a_Stakeholder Coordination_x000a__x000a_ Support team leadership including program managers and asset managers_x000a_ Facilitate communication across teams_x000a_ Build relationships with partner organizations_x000a_ Coordinate cross-functional initiatives_x000a__x000a_Analysis &amp; Reporting_x000a__x000a_ Generate reports on key metrics_x000a_ Analyze data to identify trends and opportunities_x000a_ Support data quality initiatives_x000a_ Document processes and create guidance materials Basic Qualifications_x000a__x000a_ Bachelor's degree or equivalent_x000a_ Experience using SQL_x000a_ Experience with reporting and Data Visualization tools such as Quick Sight / Tableau / Power BI or other BI packages_x000a_ Experience communicating and delivering presentations to customers, stakeholders, and/or teammates_x000a_ Experience with lease administration or related business processes_x000a_ Ability to troubleshoot basic technical issues_x000a__x000a_Preferred Qualifications_x000a__x000a_ Experience creating process documentation_x000a_ Experience defining requirements and using data and metrics to draw business insights_x000a_ Experience utilizing commercial real estate software platforms such as Tango, Yardi, or MRI_x000a_ Experience working cross-functionally with tech and non-tech teams"/>
    <s v="LinkedIn"/>
    <s v="on-site"/>
    <x v="8"/>
    <x v="1"/>
  </r>
  <r>
    <x v="13"/>
    <s v="Hyatt"/>
    <s v="Seattle, WA"/>
    <x v="9"/>
    <x v="10"/>
    <s v="Salary"/>
    <s v="Join us for an incredible opportunity to become part of our Area Revenue Team as our Area Revenue Analyst! While based out of the Hyatt at Olive 8, this Area Revenue Analyst may have the opportunity support our collection of Hyatt Hotels in downtown Seattle, including also the Hyatt Regency Seattle, and/or the Grand Hyatt Seattle._x000a__x000a_ As a   Great Place to Work in the U.S.   for twelve years running, it's an award-winning culture where you can bring your whole self to work every day, coupled with benefits that empower you to defy expectations and seek excellence. _x000a__x000a_We are seeking a detail ‑ oriented and analytical individual to join our Revenue Management team. They will be responsible for providing essential support to the Area Director and Assistant Director of Revenue Management in optimizing Rooms and Events performance. This is an excellent opportunity for someone looking to begin a career in market analytics, pricing strategy, and hotel performance management._x000a__x000a_Key Responsibilities_x000a__x000a_ Revenue Analysis &amp; Reporting_x000a_ Produce and maintain daily, weekly, and monthly performance reports, leveraging third ‑ party analytical tools to support data ‑ driven commercial decisions_x000a_ Analyze booking trends, market conditions, and competitive performance reports to identify opportunities and support data ‑ driven commercial strategies_x000a_ Evaluate current business strategies and identify opportunities to maximize RevPAR and RevPAS_x000a__x000a_Forecasting &amp; Strategy Support_x000a__x000a_ Support the preparation of room and event space forecasts by gathering data, updating templates, and assisting with basic analysis_x000a_ Assist with pricing, inventory, and distribution strategies by updating systems, checking rate accuracy, monitoring channel content, and completing routine data pulls_x000a_ Participate in revenue strategy meetings and contribute data-driven insights_x000a__x000a_Rate &amp; Inventory Management_x000a__x000a_ Monitor room and event space availability, restrictions, and pricing by performing regular system checks, updating information as needed, and flagging discrepancies for review_x000a_ Ensure rate accuracy and parity across all distribution channels_x000a_ Assist with loading rates, packages, and promotions into relevant systems by entering data accurately, updating details as needed, and verifying successful uploads_x000a__x000a_Group &amp; Event Support_x000a__x000a_ Review group requests by gathering key details on pricing, displacement, and basic profitability considerations._x000a_ Coordinate with Sales on group blocks, pickup updates, and meeting space usage to ensure accurate system information._x000a_ Assist with analyzing event space performance by compiling data, updating tracking tools, and identifying simple revenue opportunities_x000a__x000a_Cross-Department Collaboration_x000a__x000a_ Provide analytical support to Sales, Marketing, and Operations_x000a_ Assist with targeted initiatives designed to drive demand and improve business mix_x000a_ Communicate trends, risks, and opportunities to hotel leadership Qualifications_x000a__x000a_ Bachelor’s degree in Hospitality, Business, Finance, Economics, or related field preferred_x000a_ Strong analytical and problem ‑ solving skills_x000a_ Proficiency in Excel and comfort working with data_x000a_ Excellent communication and organizational abilities_x000a_ Keen interest in hospitality revenue management and commercial strategy"/>
    <s v="LinkedIn"/>
    <s v="on-site"/>
    <x v="2"/>
    <x v="1"/>
  </r>
  <r>
    <x v="14"/>
    <s v="SitusAMC"/>
    <s v="United States"/>
    <x v="10"/>
    <x v="0"/>
    <s v="Hourly"/>
    <s v="About the job_x000a_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_x000a__x000a_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_x000a__x000a_The internship role provides in-depth exposure to SitusAMC and other areas of the business where the candidate will receive guidance and work closely with experienced professionals._x000a__x000a_Essential Job Functions_x000a__x000a_Partner with business and technology team members to design and build targeted dashboards, reports, and data extracts_x000a_Create SQL queries to extract data from operational systems_x000a_Work with subject matter experts across multiple departments and levels of leadership to define BI requirements and strategy_x000a_Release approved stored procedures, dashboards, and reports to production and assist in operational release cycles_x000a_Develop ETL processes to import data into reporting and business intelligence architecture, in line with current data loading architecture or on an ad hoc basis_x000a_Learn, grow, and improve the team’s ability to make business intelligence a critical asset to the organization_x000a_Familiarity with AI tools (ie: Codex, Cursor )_x000a_Remote based in or driving distance of a local office: Denver, CO; St Petersburg, FL; NY, NY; Plymouth Meeting, PA; Overland Park, KS; Houston, TX; Atlanta, GA_x000a_Such other activities as may be assigned by your manager_x000a__x000a_Qualifications/ Requirements_x000a__x000a_Currently enrolled in Bachelors or Master’s program at an accredited University pursuing a degree in: Computer Science, Data Science, or related field_x000a_Intern level professional with 0-6 months of relevant project or working experience._x000a_Proficient with Excel and Microsoft Office Suite_x000a_Experience building SQL statements_x000a_Experience with business intelligence tool"/>
    <s v="LinkedIn"/>
    <s v="remote"/>
    <x v="1"/>
    <x v="0"/>
  </r>
  <r>
    <x v="15"/>
    <s v="Delta Dental of Washington"/>
    <s v="Seattle, WA "/>
    <x v="11"/>
    <x v="11"/>
    <s v="Salary"/>
    <s v="We are looking for a dedicated Business Intelligence Analyst responsible for analyzing oral health data to evaluate the utilization and reimbursement of dental services and the associated costs. The role involves working closely with the clinical teams, actuaries, and other stakeholders to identify trends, develop strategies to optimize resource use, create and maintain reimbursement analytics, and improve cost-efficiency with improved patient care quality._x000a__x000a_At Delta Dental of Washington our vision is that all people can enjoy good oral and overall health, with no one left behind. We succeed because of a shared commitment to a set of values that guide everything we do – for our customers, for our communities, and for each other. We are Accountable. We lean in with Courage. We stay Curious. We are Inclusive. We act with Integrity._x000a__x000a_We offer a highly competitive medical, dental and vision plans as well offering a generous 401k match and all employees start accruing vacation and sick time from their very first day. We empower employee development through our tuition reimbursement plan, professional development plans, and employee-led communities._x000a__x000a_The pay range for this position varies between $70,900.00 – $118,100.00. Washington Dental Service and its affiliates, including Delta Dental of Washington and Arcora Foundation intends to offer the selected candidate a base pay within this range, dependent on job-related, non-discriminatory factors such as experience. Base pay will also be adjusted based on the candidate's geographic location._x000a__x000a_Essential Responsibilities include the following: The list of responsibilities listed is not intended to be comprehensive. Washington Dental Service and its affiliates, including Delta Dental of Washington and Arcora Foundation reserve the right to change the responsibilities at any time with or without notice._x000a__x000a_Uses various analytic tools (SQL, Tableau) to perform statistical analysis and visualization of clinical and claims data to create actionable insights and support decision-making._x000a_Analyze claims and clinical data to identify financial improvement opportunities._x000a_Provide analytics that support metric driven goals with providers._x000a_Analyzes provider reimbursement patterns and provides actionable data to provider facing team members._x000a_Develop and maintain comprehensive reports on utilization trends, cost drivers and financial performance._x000a_Collaborate with clinical teams to develop and implement utilization management protocols and best practices._x000a_Solutions and process improvement projects to achieve operational and business goals._x000a_Conducts provider specific fraud and abuse research._x000a_Monitor existing metrics and develop and propose new metrics._x000a_Stay updated with industry trends, best practices and regulatory changes related to cost and utilization of dental services._x000a_Performs ad hoc research and analysis as needed._x000a__x000a__x000a_Experience, skills, and education do you need to have to succeed in the position: The requirements listed below are representative of the knowledge, skill, and/or ability required to successfully perform the essential functions of the position._x000a__x000a_Proficiency in data analysis tools and software (e.g. SSMS, SSRS, Snowflake, Excel, Tableau)_x000a_Ability to build data visualizations (e.g., Tableau)._x000a_Experience in healthcare systems, and knowledge of dental and insurance terminology._x000a_Strong analytical and problem-solving skills with the ability to interpret complex data and provide actionable insights_x000a_Excellent communication skills, both written and verbal, with the ability to present findings to various stakeholders._x000a_Detail-oriented with strong organizational skills._x000a_Bachelor's degree (B. A.) from four-year College or university; and two years related experience and/or training; or equivalent combination of education and experience."/>
    <s v="LinkedIn"/>
    <s v="on-site"/>
    <x v="9"/>
    <x v="1"/>
  </r>
  <r>
    <x v="16"/>
    <s v="DoorDash"/>
    <s v="Seattle, WA"/>
    <x v="12"/>
    <x v="12"/>
    <s v="Salary"/>
    <s v="As an Associate, Customer Experience on the ACE team, you will apply data science and AI to uncover systemic drivers of executive escalations and support friction. You will design and deploy models that structure unstructured case data into scalable taxonomies, automate postmortem analyses, and surface clear root causes. This role goes beyond reporting, you will translate complex datasets into executive-ready insights and partner cross-functionally to drive measurable reductions in Overturned Rate and M Team Escalations. Success requires strong technical rigor, structured thinking, and the ability to convert analysis into durable operational and product improvements._x000a__x000a_You’re Excited About This Opportunity Because You Will…_x000a__x000a_Deploy AI-driven solutions to identify systemic support gaps and convert unstructured case data into actionable taxonomies._x000a_Own the development of scalable case classification models that improve visibility into root causes and reduce noise in escalation channels._x000a_Translate complex datasets into executive-ready insights that influence product, policy, and operational decisions._x000a_Partner cross-functionally with Product, Engineering, and Operations to close upstream gaps and prevent repeat issues at scale._x000a_Operate at the intersection of data science and business strategy, using analytics to drive measurable customer and operational outcomes._x000a__x000a_We’re Excited About You Because…_x000a__x000a_You bring a strong foundation in data science, statistics, or a related quantitative field, and can translate theory into practical business applications._x000a_You are fluent in SQL and Python, and have experience working with large, messy datasets to extract structured, decision-ready insights._x000a_You think in systems, not symptoms, and can deconstruct complex support issues into clear, root cause categories._x000a_You are comfortable building and deploying machine learning or AI-driven models that drive measurable operational impact._x000a_You communicate complex analyses clearly and concisely, tailoring insights for both technical and executive audiences._x000a_You operate with a bias for action, moving from analysis to recommendation to implementation without overengineering._x000a_You are detail-oriented, intellectually curious, and motivated by improving customer experience through scalable, data-driven solutions._x000a_You thrive in cross-functional environments and can influence stakeholders using evidence, logic, and structured thinking."/>
    <s v="LinkedIn"/>
    <s v="on-site"/>
    <x v="10"/>
    <x v="2"/>
  </r>
  <r>
    <x v="17"/>
    <s v="PitchBook"/>
    <s v="Seattle, WA"/>
    <x v="13"/>
    <x v="13"/>
    <s v="Salary"/>
    <s v="At PitchBook, a Morningstar company, we are always looking forward. We continue to innovate, evolve, and invest in ourselves to bring out the best in everyone. We’re deeply collaborative and thrive on the excitement, energy, and fun that reverberates throughout the company._x000a__x000a_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_x000a__x000a_If you have a good attitude and are willing to roll up your sleeves to get things done, PitchBook is the place for you._x000a__x000a_About The Role_x000a__x000a_As a member of our Account Management &amp; Customer Success team, you will thrive on your ability to embrace and drive change and your commitment to ensuring you and PitchBook are always growing and improving. While continually learning and exploring new ideas and concepts, you will be inspired to ask questions and challenge the status quo while remaining focused on our customers’ success. We value teamwork and collaboration and encourage our people to build strong, trusting relationships with their teammates, customers, and partners. A contagious positivity, insatiable curiosity, and people-first attitude are the winning traits of our most successful Account Management &amp; Customer Success team members. If this sounds like you, join us!_x000a__x000a_As an Associate Data Analyst, Customer Support, you will utilize your analysis skills to interpret client data requests and deliver packaged analytics used by some of the largest private capital investors, investment banks and service providers globally. As an Associate Data Analyst, Customer Support, you will work with the support team to create complex customized reports for clients. Customer experience pain points you identify will inform product improvements and allow PitchBook to optimize the platform for customers worldwide. _x000a__x000a_Primary Job Responsibilities_x000a__x000a_Build custom charts and visualizations using Salesforce, Excel, and SQL _x000a_Utilize strong Microsoft Excel and SQL skills in order to provide high-quality data analysis and support to clients _x000a_Serve as a data expert for all use cases that utilize PitchBook’s broad database_x000a_Communicate effectively, both written and verbal to ensure smooth resolution of customer requests_x000a_Manage and complete time-sensitive custom research requests for subscribing clients _x000a_Manage and respond to inquiries from clients and internal colleagues and the general public regarding data requests and published research _x000a_Work collaboratively with support team with an emphasis on providing guidance and expertise to Tier 1 and 2 specialists_x000a_Work continuously to document the details of each interaction in Salesforce in order to easily research customer projects and to inform product improvements _x000a_Support the vision and values of the company through role modeling and encouraging desired behaviors _x000a_Participate in various company initiatives and projects as requested _x000a__x000a_Skills And Qualifications_x000a__x000a_Bachelor’s degree_x000a_1+ years of experience in financial services role or experience working with large datasets and/or 1+ years of Tier 2 Customer Support at PitchBook _x000a_Proficient with Salesforce or similar CRM preferred _x000a_Strong proficiency with Microsoft Excel including pivot tables and advanced formulas _x000a_Have experience working in SQL _x000a_Have excellent verbal and written communication skills with a keen eye for detail _x000a_Interested in financial markets or services, particularly private equity and venture capital _x000a_Ability to operate with a strong sense of urgency and deliver results _x000a_Have terrific prioritization skills related to project work _x000a_Strong understanding of financial concepts such as valuation techniques (DCF, comps, etc.), IRRs, asset allocations, etc. _x000a_Team player with the desire to try new ideas in order to achieve greater levels of success _x000a_Proficiency with the Microsoft Office suite including in-depth knowledge of Outlook, Word, and Excel with the ability to pick up new systems and software easily _x000a_Must be authorized to work in the United States without the need for visa sponsorship now or in the future"/>
    <s v="LinkedIn"/>
    <s v="on-site"/>
    <x v="1"/>
    <x v="1"/>
  </r>
  <r>
    <x v="18"/>
    <s v="Stackline"/>
    <s v="Seattle, WA"/>
    <x v="7"/>
    <x v="14"/>
    <s v="Salary"/>
    <s v="Stackline is the first full-funnel connected commerce platform for the world's most innovative brands. Business leaders, product innovators, performance marketers, and analysts trust Stackline as the single source of commerce truth. Fueled by our proprietary neural network, our market insights, revenue metrics, behavior analyses, and autonomous functionality create the actions that determine success or failure._x000a__x000a_Founded in 2014 in Seattle, we have offices in Minneapolis, New York, Salt Lake City, and London. Since November 2020, Stackline has raised $180 million in strategic investments from Goldman Sachs Growth Equity and TA Associates._x000a__x000a_Stackline is on a mission to fuel the future of commerce by bringing brands and customers closer together._x000a__x000a_About the Role:_x000a__x000a_Join us as a Data Analyst where you will step into a dynamic role that that makes a real impact for our clients. If you are passionate about uncovering hidden insights within complex data sets and transforming raw data into actionable knowledge, then we want to talk with you! In this role you will embark on an adventure that utilized your analytical prowess to decode data, identify trends, and help shape the future of Stackline. Apply today and help us on our quest to unlock the full potential of data while contributing to meaningful change! This is a hybrid role (4 days/week in office) and is based out of our Seattle, WA office._x000a__x000a_What You Will Do:_x000a__x000a_Conduct comprehensive dataset analyses across Stackline to extract insights, trends, and patterns utilizing mathematical, statistical, and probability methodologies._x000a_Build and maintain data pipelines and workflows to ensure data accuracy and consistency, while identifying and rectifying errors, inconsistencies, or missing information._x000a_Provide timely and precise responses to inquiries from both internal and external sources regarding datasets and models._x000a_Apply technical expertise to process complex datasets, establish quality control procedures, and derive actionable insights through analytics._x000a_Develop scalable processes for automating reports and visualizations to communicate findings effectively to stakeholders._x000a_Collaborate with cross-functional teams to understand data requirements and address specific product questions or challenges._x000a_Document data sources and processes for data analysis._x000a__x000a_Who We Are Looking For:_x000a__x000a_Bachelor’s degree in Mathematics, Physics, Computer Science, or other relevant technical field._x000a_2+ years of direct industry work experience in one or more of the following areas: data science, data analytics, or data engineering._x000a_2+ years of experience with statistics and probability, particularly their application in systems analysis and operations research._x000a_Demonstrated experience with Python and SQL._x000a__x000a_Bonus Points If You Have:_x000a__x000a_Prior experience using advanced statistical tools such as SciPy or sklearn._x000a_Prior experience with big data technologies such as Hadoop or Spark._x000a_Demonstrated experience designing and building innovative ideas, working closely with technical teams from concept generation through implementation._x000a_Experience working in a startup, retail, digital advertising, or e-commerce environment."/>
    <s v="LinkedIn"/>
    <s v="hybrid"/>
    <x v="10"/>
    <x v="2"/>
  </r>
  <r>
    <x v="19"/>
    <s v="Terex Corporation"/>
    <s v="Bothell, WA"/>
    <x v="14"/>
    <x v="15"/>
    <s v="Hourly"/>
    <s v="Early Talent Program Overview:_x000a__x000a_The Terex Early Talent Program immerses high potential students in challenging real-world projects which directly help drive business results at our global organization. Our rich beliefs in innovation and continuous improvement, paired with our students' diverse and creative mindsets, lead to the development of our best-in-class products, positively impacting the lives of people worldwide._x000a__x000a_We are committed to the personal and professional development of our students and are proud to encourage their growth into our leaders of tomorrow._x000a__x000a_Highlights:_x000a__x000a_Join a truly international team with teammates spread across 5 continents_x000a_Intern/Co-op opportunities can lead to full-time careers_x000a_Gain real world experience in developing finance forecasts, conducting data analysis, analyzing go to market deals, and tackling process improvement projects._x000a__x000a__x000a_Real World Responsibilities:_x000a__x000a_As part of our team, we will provide you with real-work assignments that will provide you valuable experience as you begin your career_x000a__x000a_During your time with us you will:_x000a__x000a_Own a project focused on enhancing global cost forecast and reporting processes._x000a_Build a dashboard which will improve global staffing solutions_x000a_Create and develop working financial models that streamline workflows and provide analytical insights. _x000a_Support the implementation of systems and applications across the Terex landscape to create an experience that positions Finance as best in class for its customers_x000a_Assist in key projects that involve working with a global team._x000a_Partner with Finance and cross-Functional teams to analyze, translate and document process flows / business requirements into technical requirements to define scope, benefits, cost estimate and ROI_x000a_Support and participate in monthly forecast update_x000a_Support ad hoc analysis as necessary_x000a__x000a__x000a_Must haves:_x000a__x000a_Pursuing a full-time undergraduate or graduate degree in Business Administration, Economics, Computer Science, Finance or related field or graduated within last two years_x000a_Able to work full-time 40 hours per week for 3 months in Bothell, WA office (3 days in-person, 2 days remote)_x000a_Visualization Best Practices: Ability to apply design principles to ensure dashboards are user-friendly, clear, and actionable._x000a_Power BI Core Skills: Proficiency in creating interactive dashboards and reports using Power BI Desktop_x000a_Data Transformation: Experience using Power Query to clean, merge, and transform raw data from various sources (Excel, SQL, Cloud)._x000a_Data Modeling &amp; DAX: Understanding relational data modeling and the ability to write DAX (Data Analysis Expressions) for custom measures and KPIs._x000a_A combination of technical proficiency in the Microsoft ecosystem, foundational data literacy, and strong communication skills to bridge the gap between technical data and business needs._x000a_Track record of demonstrable accomplishments in school and at work_x000a_Computer skills with MS Office, Business intelligence systems, and intermediate to advanced skills in Excel_x000a__x000a__x000a_Nice to haves:_x000a__x000a_Interested in joining Leadership Development Programs after graduation_x000a_Ability to adapt and learn data systems (Oracle ERP system, OneStream, Qlik)_x000a_SQL Foundations: Basic to intermediate knowledge of SQL for querying relational databases and extracting datasets._x000a_Portfolio: Include a link to a GitHub repository or a live Power BI portfolio showcasing at least one advanced project._x000a_AI Integration: Conceptual understanding of using AI/Copilot to generate DAX or visuals. _x000a_Ability to handle multiple priorities and meet deadlines_x000a_Possess strong analytical and organizational skills_x000a_Attention to detail"/>
    <s v="LinkedIn"/>
    <s v="hybrid"/>
    <x v="11"/>
    <x v="0"/>
  </r>
  <r>
    <x v="20"/>
    <s v="Wizards of the Coast"/>
    <s v="Renton, WA"/>
    <x v="15"/>
    <x v="16"/>
    <s v="Hourly"/>
    <s v="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_x000a__x000a_Marketing Analytics and Measurement Internship_x000a__x000a_About The Team_x000a__x000a_Magic: The Gathering is seeking a Marketing Analytics and Measurement Intern to support campaign measurement, experimentation, and executive reporting across global set launches. This role sits within the Measurement and Testing team and partners closely with Marketing and Social to design and build a best-in-class dashboard ecosystem that informs campaign strategy and tracks performance across paid, owned, and earned channels._x000a__x000a_This is a hands-on analytics role ideal for someone who wants exposure to real-world marketing measurement, experimentation, and stakeholder-facing reporting within a global entertainment brand._x000a__x000a_The Internship Experience_x000a__x000a_Hasbro’s Summer Internship Program offers a behind-the-scenes look at how a global play and entertainment company operates — paired with the opportunity to make a real impact._x000a__x000a_Interns are fully embedded on their teams and trusted to own meaningful business projects aligned to team priorities. Throughout the summer, you’ll contribute to work that matters while also being part of a broader global intern cohort, gaining exposure to professional development sessions, networking opportunities, and leadership engagement designed to support your growth and learning._x000a__x000a_What You’ll Do as a Marketing Analytics and Measurement Intern:_x000a__x000a_Partner with Measurement, Social, and Marketing teams to design and build a suite of campaign dashboards across set launches _x000a_Develop automated reporting in Tableau and Power BI for executive, tactical, and channel-level audiences _x000a_Write and optimize SQL queries to extract, transform, and validate marketing, social, CRM, and web performance data _x000a_Support campaign benchmarking by tracking performance against historical launches _x000a_Contribute to holdout test readouts and experiment analysis _x000a_Help standardize KPIs and reporting definitions across paid, owned, and earned channels _x000a_Translate complex data into clear visual narratives that inform leadership decisions _x000a__x000a_What You'll Bring:_x000a__x000a_Technical Requirements_x000a__x000a_Strong SQL skills, including joins, aggregations, window functions, and data validation _x000a_Experience building dashboards in Tableau _x000a_Experience building reports in Power BI _x000a_Ability to work with structured marketing datasets such as campaign performance, web analytics, and CRM data _x000a_Strong data visualization and storytelling skills _x000a__x000a_Preferred Qualifications_x000a__x000a_Experience with marketing analytics, experimentation, or campaign measurement _x000a_Familiarity with digital marketing channels including paid media, social, and web analytics _x000a_Understanding of A/B testing or basic statistical concepts _x000a_Passion for gaming, entertainment, or Magic: The Gathering _x000a__x000a_Ideal Candidate Traits_x000a__x000a_Analytical and detail-oriented _x000a_Comfortable working across multiple stakeholders _x000a_Curious and proactive in identifying insights _x000a_Able to translate complex data into clear, executive-ready visuals _x000a__x000a_Nice to Have_x000a__x000a_Passion for gaming, entertainment, or Magic: The Gathering _x000a_Familiarity with digital marketing channels (paid, social, web analytics) _x000a_Understanding of A/B testing or basic statistics _x000a_Experience with marketing analytics, experimentation, or campaign measurement "/>
    <s v="LinkedIn"/>
    <s v="hybrid"/>
    <x v="8"/>
    <x v="0"/>
  </r>
  <r>
    <x v="21"/>
    <s v="Microsoft"/>
    <s v="Redmond, WA"/>
    <x v="16"/>
    <x v="17"/>
    <s v="Salary"/>
    <s v="As a Data Analyst in the Analytics &amp; Applications team, your work will focus on helping the Small and Medium Business organization achieve its long-term business and customer growth objectives through the creation of data analytics, insights, and reports._x000a__x000a_You will act as a strategic partner responsible for delivering data models, insights, and analytics that impact the ability to understand our SMB ecosystem and enable the business to react quickly and drive business growth. You will develop your career, forge effective cross-functional relationships, take on progressively broader responsibilities, and establish yourself as a trusted strategic advisor. You can expect to have sponsorship for your work, support for your professional development, and encouragement to bring your authentic self to work._x000a__x000a_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_x000a__x000a_Responsibilities_x000a__x000a_You will conduct exploratory data analysis, create data models, and develop actionable insights to enable and support decision-making for business leaders across Operations, Marketing, Finance, and Engineering._x000a_You will leverage AI-enabled tools and automation to accelerate analysis, improve data quality, and deliver scalable self-serve insights while adhering to security and privacy requirements._x000a_You will identify and leverage appropriate sources of data and contribute to the development of recommendations._x000a_You’ll determine appropriate analytical techniques and critically evaluate assumptions._x000a_You will share and simplify relevant findings and insights and ensure presented results are accessible and accurate._x000a_You’ll support and/or consult with other teams and identify relevant data-driven recommendations._x000a_You will recommend efficiency improvements for core work and evaluate the viability of automated data collection methods._x000a_You will understand linkages between analytical models and contribute to the review process—and, if the model is deemed deficient—seek to determine why._x000a_You’ll work within and across teams to ensure alignment in data sources and processes and engage stakeholders to act on opportunities._x000a_Embody our culture and values._x000a__x000a_Qualifications_x000a__x000a_Required :_x000a__x000a_Master's Degree in Mathematics, Analytics, Data Science, Engineering, Computer Science, Business, Economics or related field OR Bachelor's Degree in Statistics, Mathematics, Analytics, Data Science, Engineering, Computer Science, Business, Economics or related field AND 2+ years experience in data analysis and reporting, data science, business intelligence, or business and financial analysis OR equivalent experience._x000a__x000a_Preferred_x000a__x000a_2+ years’ experience in data analysis, modelling, and visualization tools (e.g., experience with SQL and Power BI)_x000a_Strong understanding of data visualization best practices"/>
    <s v="LinkedIn"/>
    <s v="hybrid"/>
    <x v="12"/>
    <x v="2"/>
  </r>
  <r>
    <x v="22"/>
    <s v="Harbor Foods"/>
    <s v="Lacey, WA"/>
    <x v="17"/>
    <x v="18"/>
    <s v="Salary"/>
    <s v="This position reports directly to the Director of Finance and will be a member of the team that is responsible for financial reporting, budgeting, and analysis. Working closely with the Harbor Wholesale Finance and Accounting teams, as well as other departments within the organization, the Financial Analyst helps the Company make sound financial decisions through research and accurate analysis of financial data._x000a__x000a_This position is onsite at Lacey, WA. This position does not offer relocation. ***_x000a__x000a__x000a_Compensation $80K - 90K DOE_x000a__x000a_Benefits Summary Benefits for Harbor Team Members include vacation, sick time, personal floating holiday, paid holidays, medical, dental, vision, and life insurance, 401(k) retirement plan with a generous employer match and some great Harbor perks_x000a__x000a_Essential Job Functions _x000a__x000a_Evaluates financial performance by comparing and analyzing actual results with budgets and forecasts._x000a_Assists with period end review and reconciliation of specific GL Accounts, including preparation of journal entries._x000a_Performs financial forecasting, reporting, and operational metrics tracking._x000a_Works closely with the Director of Finance and the business to complete timely and accurate budgets._x000a_Analyzes past results, performs variance analysis, identifies trends, and makes recommendations for improvements._x000a_Identifies and drives process improvements, including the creation of standard and ad-hoc reports and tools. _x000a_Increases productivity by developing automated reporting/forecasting tools._x000a_Creates financial modelsfor decision support._x000a_Reconciles transactions by comparing and correcting data._x000a_Gains and updates job knowledge to remain informed on trends in the industry._x000a_Other duties as assigned by the Director of Finance._x000a__x000a__x000a_Knowledge, Skills, and Abilities _x000a__x000a_Strong analytical skills and problem-solving ability._x000a_Proficient in Microsoft Office products with intermediate Excel skills._x000a_Attention to detail, strong organizational skills and driven to meet deadlines._x000a_Excellent knowledge of data analysis and forecasting methods._x000a_Ability to work well with all levels of management and team members to foster a respectful and professional work environment._x000a_Skill in being flexible and able to handle changing priorities over multiple priorities, tasks, and situations._x000a_Strong communication skills, both oral and written._x000a_Basic understanding of distribution and warehousing industries._x000a_Ability to make timely and sound decisions while demonstrating good judgement_x000a__x000a__x000a_Education and Experience _x000a__x000a_Bachelor’s Degree in Finance, Accounting, Business, or related field required. _x000a_1-3 years’ experience in business finance or other relevant experience. _x000a_Experience with Microsoft Dynamics NAV and SQL reporting a plus. _x000a_Large company $500MM+ min volume experience preferred."/>
    <s v="LinkedIn"/>
    <s v="on-site"/>
    <x v="1"/>
    <x v="1"/>
  </r>
  <r>
    <x v="21"/>
    <s v="Aditi Consulting"/>
    <s v="Bellevue, WA"/>
    <x v="18"/>
    <x v="19"/>
    <s v="Hourly"/>
    <s v="Payrate: $40.00 - $42.15/hr._x000a_ _x000a_Responsibilities: _x000a_Work with large amounts of data: facts, figures, and number crunching. _x000a_Ability to see through the data and analyze it to find conclusions. _x000a_Look at the numbers, trends, and data and come to new conclusions based on the findings. _x000a_Level 1 Junior level resource with some basic experience"/>
    <s v="LinkedIn"/>
    <s v="remote"/>
    <x v="3"/>
    <x v="1"/>
  </r>
  <r>
    <x v="23"/>
    <s v="Delta Electronics Americas"/>
    <s v="Bothell, WA"/>
    <x v="19"/>
    <x v="20"/>
    <s v="Salary"/>
    <s v="About the role:_x000a__x000a_Review and reconcile reports, transactions by comparing and correcting data._x000a_Create tracking metrics and reports including but not limited to quarterly forecasts and quarterly operating reports among others in compliance with contractual terms Manage day-to-day operation to support business operations for internal cross-functional communications._x000a_Analyze process improvement opportunities such as developing automated reporting templates/ applications Contribute to team efforts by accomplishing ad hoc work as needed_x000a__x000a__x000a_Key responsibilities:_x000a_Assist account manager/sales team to meet the performance target to provide an efficient and comprehensive service_x000a_Support account manager/sales team in handling of inquiries, orders, issues, shipment, tracking, reports, and general follow-up_x000a_Works cross functionally with manufacturing and management teams and resolving issues timely as required_x000a_Proactively interface with customers and serve as a point of main contact as request_x000a_Coordinate sales related activities and maintain/monitor accurate data with efficiency_x000a_Prepare sales operation reports and presentation materials as request_x000a_Support sales administrative related functions_x000a_Exercise creative thinking and apply experiences to improve processes as needed _x000a__x000a__x000a_Minium Qualifications:_x000a_Minimum 2 years of experience in a business analyst. _x000a_Education: BA/ BS preferred in Business, Economics, Engineering or Finance_x000a_Responsible, reliable, proactive, self-starter, and independent. _x000a_Comfortable with fast-paced environment._x000a_Solid communication skills. Must be able to articulate and communicate complex data information or issues to executives, external stakeholders, and internal team members. _x000a_Required:_x000a_Outstanding analytical skills and exceptional attention to detail._x000a_Advanced in Microsoft Excel in addition to working level knowledge of other MS Office products such as Word and PowerPoint and SAP_x000a_Experience in B2B &amp; distribution business model, tech industries preferred _x000a_Previous experience supporting sales management preferred and bachelor’s degree preferred_x000a__x000a__x000a_Preferred Qualifications:_x000a_Self‑driven, results‑oriented sales able to manage and triage conflicting priorities under tight deadlines._x000a_Experience working with cross‑functional teams and leading field service or project‑delivery groups._x000a_Ability to present complex solutions clearly._x000a_Bilingual in Mandarin is a plus."/>
    <s v="LinkedIn"/>
    <s v="on-site"/>
    <x v="2"/>
    <x v="1"/>
  </r>
  <r>
    <x v="24"/>
    <s v="FSA"/>
    <s v="Seattle, WA"/>
    <x v="20"/>
    <x v="21"/>
    <s v="Salary"/>
    <s v="Be a part of the nationwide law enforcement initiative that removes the tools of crime from criminal organizations, depriving wrongdoers of proceeds from their crime and impacting the infrastructure of criminal enterprises. _x000a__x000a_FSA Federal (FSA) is focused on delivering unsurpassed services in support of law enforcement and homeland security. We currently have a vacancy for a Junior Financial Analyst. In this role, you will be supporting the overall mission of the U.S. Marshals Service (USMS). _x000a__x000a_Responsibilities_x000a__x000a_Provides quality control and reconciliation of computer databases containing financial and compliance records._x000a_Checks accounting practices for compliance with Federal laws and regulations (e.g., Single Audit Act), generally accepted Government accounting practices (GAP), and relevant Office Management and Budget (OMB) circulars._x000a_Reviews and analyzes annual financial statements to ensure compliance with laws, regulations, program policies, and procedures, and makes recommendations for corrective actions if findings indicate improper or illegal expenditures and accounting funds._x000a_Evaluates logistics and operations of audit and certification program to maximize efficiencies and streamline program review._x000a_Creates draft budget requests for office operations._x000a_Performs other duties as assigned._x000a__x000a_,_x000a__x000a_Requirements_x000a__x000a_ Bachelor's degree in Accounting, Finance, Business Administration or related field, or High School Diploma/GED with at least four years related experience_x000a_ General knowledge of financial statements _x000a_ Strong organizational and prioritization skills_x000a_ Excellent communication skills; oral and written_x000a_ Experience with the Microsoft Office suite of applications (Excel, PowerPoint, Word) and other common software applications and databases, to include financial systems_x000a_ Strong attention to detail; meticulous data entry skills_x000a_ Proven commitment and competence to provide excellent customer service; positive and flexible_x000a_ Ability to work in a team environment and maintain a professional disposition"/>
    <m/>
    <s v="on-site"/>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B9A97C-DF0F-40C6-AF5C-C029D694A0E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N1:Q4" firstHeaderRow="1" firstDataRow="3" firstDataCol="0"/>
  <pivotFields count="11">
    <pivotField showAll="0">
      <items count="26">
        <item x="7"/>
        <item x="13"/>
        <item x="17"/>
        <item x="16"/>
        <item x="12"/>
        <item x="10"/>
        <item x="5"/>
        <item x="15"/>
        <item x="8"/>
        <item x="23"/>
        <item x="3"/>
        <item x="21"/>
        <item x="18"/>
        <item x="0"/>
        <item x="9"/>
        <item x="4"/>
        <item x="22"/>
        <item x="19"/>
        <item x="1"/>
        <item x="14"/>
        <item x="24"/>
        <item x="20"/>
        <item x="6"/>
        <item x="2"/>
        <item x="11"/>
        <item t="default"/>
      </items>
    </pivotField>
    <pivotField showAll="0"/>
    <pivotField showAll="0"/>
    <pivotField dataField="1" showAll="0">
      <items count="22">
        <item x="4"/>
        <item x="10"/>
        <item x="3"/>
        <item x="0"/>
        <item x="14"/>
        <item x="5"/>
        <item x="1"/>
        <item x="15"/>
        <item x="18"/>
        <item x="20"/>
        <item x="12"/>
        <item x="9"/>
        <item x="19"/>
        <item x="11"/>
        <item x="13"/>
        <item x="17"/>
        <item x="8"/>
        <item x="7"/>
        <item x="16"/>
        <item x="6"/>
        <item x="2"/>
        <item t="default"/>
      </items>
    </pivotField>
    <pivotField dataField="1" showAll="0">
      <items count="23">
        <item x="5"/>
        <item x="3"/>
        <item x="0"/>
        <item x="15"/>
        <item x="1"/>
        <item x="16"/>
        <item x="19"/>
        <item x="6"/>
        <item x="4"/>
        <item x="21"/>
        <item x="13"/>
        <item x="20"/>
        <item x="18"/>
        <item x="12"/>
        <item x="10"/>
        <item x="9"/>
        <item x="14"/>
        <item x="11"/>
        <item x="8"/>
        <item x="7"/>
        <item x="17"/>
        <item x="2"/>
        <item t="default"/>
      </items>
    </pivotField>
    <pivotField showAll="0"/>
    <pivotField showAll="0"/>
    <pivotField showAll="0"/>
    <pivotField showAll="0"/>
    <pivotField showAll="0">
      <items count="14">
        <item x="2"/>
        <item x="6"/>
        <item x="1"/>
        <item x="11"/>
        <item x="4"/>
        <item x="0"/>
        <item x="9"/>
        <item x="7"/>
        <item x="12"/>
        <item x="10"/>
        <item x="5"/>
        <item x="8"/>
        <item x="3"/>
        <item t="default"/>
      </items>
    </pivotField>
    <pivotField axis="axisCol" showAll="0">
      <items count="4">
        <item x="1"/>
        <item h="1" x="0"/>
        <item x="2"/>
        <item t="default"/>
      </items>
    </pivotField>
  </pivotFields>
  <rowItems count="1">
    <i/>
  </rowItems>
  <colFields count="2">
    <field x="10"/>
    <field x="-2"/>
  </colFields>
  <colItems count="4">
    <i>
      <x/>
      <x/>
    </i>
    <i r="1" i="1">
      <x v="1"/>
    </i>
    <i>
      <x v="2"/>
      <x/>
    </i>
    <i r="1" i="1">
      <x v="1"/>
    </i>
  </colItems>
  <dataFields count="2">
    <dataField name="Average of Minimum Salary" fld="3" subtotal="average" baseField="10" baseItem="0" numFmtId="164"/>
    <dataField name="Average of Maximum Salary" fld="4" subtotal="average" baseField="10" baseItem="2" numFmtId="164"/>
  </dataFields>
  <chartFormats count="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1"/>
          </reference>
          <reference field="10" count="1" selected="0">
            <x v="0"/>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1"/>
          </reference>
          <reference field="10" count="1" selected="0">
            <x v="2"/>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F05F-D194-43FE-91CC-9A800D6B899A}">
  <dimension ref="A1:Q28"/>
  <sheetViews>
    <sheetView tabSelected="1" workbookViewId="0">
      <selection activeCell="J26" sqref="J26"/>
    </sheetView>
  </sheetViews>
  <sheetFormatPr defaultRowHeight="14.4" x14ac:dyDescent="0.3"/>
  <cols>
    <col min="1" max="1" width="41.5546875" bestFit="1" customWidth="1"/>
    <col min="2" max="2" width="23.77734375" bestFit="1" customWidth="1"/>
    <col min="3" max="3" width="20.44140625" bestFit="1" customWidth="1"/>
    <col min="4" max="4" width="14.88671875" bestFit="1" customWidth="1"/>
    <col min="5" max="5" width="15.21875" bestFit="1" customWidth="1"/>
    <col min="6" max="6" width="10.6640625" bestFit="1" customWidth="1"/>
    <col min="7" max="7" width="10" customWidth="1"/>
    <col min="9" max="9" width="10.21875" bestFit="1" customWidth="1"/>
    <col min="11" max="11" width="9.44140625" bestFit="1" customWidth="1"/>
    <col min="14" max="14" width="24.6640625" bestFit="1" customWidth="1"/>
    <col min="15" max="15" width="25" bestFit="1" customWidth="1"/>
    <col min="16" max="16" width="24.6640625" bestFit="1" customWidth="1"/>
    <col min="17" max="17" width="25" bestFit="1" customWidth="1"/>
    <col min="18" max="18" width="12" bestFit="1" customWidth="1"/>
    <col min="19" max="19" width="25" bestFit="1" customWidth="1"/>
    <col min="20" max="20" width="26.33203125" bestFit="1" customWidth="1"/>
    <col min="21" max="21" width="29.88671875" bestFit="1" customWidth="1"/>
    <col min="22" max="22" width="8" bestFit="1" customWidth="1"/>
    <col min="23" max="23" width="10.21875" bestFit="1" customWidth="1"/>
    <col min="24" max="24" width="6" bestFit="1" customWidth="1"/>
    <col min="25" max="25" width="7.6640625" bestFit="1" customWidth="1"/>
    <col min="26" max="26" width="9.77734375" bestFit="1" customWidth="1"/>
    <col min="27" max="27" width="10.21875" bestFit="1" customWidth="1"/>
    <col min="28" max="28" width="9.77734375" bestFit="1" customWidth="1"/>
    <col min="29" max="29" width="7.6640625" bestFit="1" customWidth="1"/>
    <col min="30" max="30" width="8" bestFit="1" customWidth="1"/>
    <col min="31" max="31" width="10.21875" bestFit="1" customWidth="1"/>
    <col min="32" max="32" width="9.77734375" bestFit="1" customWidth="1"/>
    <col min="33" max="33" width="10.6640625" bestFit="1" customWidth="1"/>
    <col min="34" max="34" width="9.77734375" bestFit="1" customWidth="1"/>
    <col min="35" max="35" width="10.6640625" bestFit="1" customWidth="1"/>
    <col min="36" max="36" width="9.77734375" bestFit="1" customWidth="1"/>
    <col min="37" max="37" width="10.6640625" bestFit="1" customWidth="1"/>
    <col min="38" max="38" width="9.77734375" bestFit="1" customWidth="1"/>
    <col min="39" max="39" width="10.6640625" bestFit="1" customWidth="1"/>
    <col min="40" max="40" width="8.5546875" bestFit="1" customWidth="1"/>
    <col min="41" max="41" width="10.6640625" bestFit="1" customWidth="1"/>
    <col min="42" max="42" width="9.77734375" bestFit="1" customWidth="1"/>
    <col min="43" max="43" width="10.6640625" bestFit="1" customWidth="1"/>
    <col min="44" max="44" width="9.77734375" bestFit="1" customWidth="1"/>
    <col min="45" max="45" width="10.6640625" bestFit="1" customWidth="1"/>
    <col min="46" max="46" width="9" bestFit="1" customWidth="1"/>
    <col min="47" max="47" width="11.6640625" bestFit="1" customWidth="1"/>
    <col min="48" max="48" width="9.77734375" bestFit="1" customWidth="1"/>
    <col min="49" max="49" width="11.6640625" bestFit="1" customWidth="1"/>
    <col min="50" max="50" width="9.77734375" bestFit="1" customWidth="1"/>
    <col min="51" max="51" width="11.6640625" bestFit="1" customWidth="1"/>
    <col min="52" max="52" width="9.77734375" bestFit="1" customWidth="1"/>
    <col min="53" max="53" width="11.6640625" bestFit="1" customWidth="1"/>
    <col min="54" max="54" width="9" bestFit="1" customWidth="1"/>
    <col min="55" max="55" width="11.6640625" bestFit="1" customWidth="1"/>
    <col min="56" max="56" width="9" bestFit="1" customWidth="1"/>
    <col min="57" max="57" width="11.6640625" bestFit="1" customWidth="1"/>
    <col min="58" max="58" width="10.77734375" bestFit="1" customWidth="1"/>
  </cols>
  <sheetData>
    <row r="1" spans="1:17" x14ac:dyDescent="0.3">
      <c r="A1" s="1" t="s">
        <v>135</v>
      </c>
      <c r="B1" s="1" t="s">
        <v>134</v>
      </c>
      <c r="C1" s="1" t="s">
        <v>133</v>
      </c>
      <c r="D1" s="1" t="s">
        <v>132</v>
      </c>
      <c r="E1" s="1" t="s">
        <v>131</v>
      </c>
      <c r="F1" s="1" t="s">
        <v>130</v>
      </c>
      <c r="G1" s="1" t="s">
        <v>129</v>
      </c>
      <c r="H1" s="1" t="s">
        <v>128</v>
      </c>
      <c r="I1" s="1" t="s">
        <v>127</v>
      </c>
      <c r="J1" s="1" t="s">
        <v>126</v>
      </c>
      <c r="K1" s="1" t="s">
        <v>125</v>
      </c>
      <c r="N1" s="3" t="s">
        <v>136</v>
      </c>
    </row>
    <row r="2" spans="1:17" x14ac:dyDescent="0.3">
      <c r="A2" t="s">
        <v>102</v>
      </c>
      <c r="B2" t="s">
        <v>124</v>
      </c>
      <c r="C2" t="s">
        <v>13</v>
      </c>
      <c r="D2">
        <v>25</v>
      </c>
      <c r="E2">
        <v>25</v>
      </c>
      <c r="F2" t="s">
        <v>24</v>
      </c>
      <c r="G2" t="s">
        <v>123</v>
      </c>
      <c r="H2" t="s">
        <v>122</v>
      </c>
      <c r="I2" t="s">
        <v>21</v>
      </c>
      <c r="J2" t="s">
        <v>74</v>
      </c>
      <c r="K2" t="s">
        <v>39</v>
      </c>
      <c r="N2" t="s">
        <v>8</v>
      </c>
      <c r="P2" t="s">
        <v>33</v>
      </c>
    </row>
    <row r="3" spans="1:17" x14ac:dyDescent="0.3">
      <c r="A3" t="s">
        <v>121</v>
      </c>
      <c r="B3" t="s">
        <v>120</v>
      </c>
      <c r="C3" t="s">
        <v>13</v>
      </c>
      <c r="D3">
        <v>33.25</v>
      </c>
      <c r="E3">
        <v>33.25</v>
      </c>
      <c r="F3" t="s">
        <v>24</v>
      </c>
      <c r="G3" t="s">
        <v>119</v>
      </c>
      <c r="H3" t="s">
        <v>16</v>
      </c>
      <c r="I3" t="s">
        <v>21</v>
      </c>
      <c r="J3" t="s">
        <v>28</v>
      </c>
      <c r="K3" t="s">
        <v>39</v>
      </c>
      <c r="N3" t="s">
        <v>138</v>
      </c>
      <c r="O3" t="s">
        <v>137</v>
      </c>
      <c r="P3" t="s">
        <v>138</v>
      </c>
      <c r="Q3" t="s">
        <v>137</v>
      </c>
    </row>
    <row r="4" spans="1:17" x14ac:dyDescent="0.3">
      <c r="A4" t="s">
        <v>118</v>
      </c>
      <c r="B4" t="s">
        <v>117</v>
      </c>
      <c r="C4" t="s">
        <v>116</v>
      </c>
      <c r="F4" t="s">
        <v>21</v>
      </c>
      <c r="G4" t="s">
        <v>115</v>
      </c>
      <c r="H4" t="s">
        <v>16</v>
      </c>
      <c r="I4" t="s">
        <v>10</v>
      </c>
      <c r="J4" t="s">
        <v>9</v>
      </c>
      <c r="K4" t="s">
        <v>39</v>
      </c>
      <c r="N4" s="4">
        <v>61958.909090909088</v>
      </c>
      <c r="O4" s="4">
        <v>81989.559090909097</v>
      </c>
      <c r="P4" s="4">
        <v>78233.333333333328</v>
      </c>
      <c r="Q4" s="4">
        <v>123266.66666666667</v>
      </c>
    </row>
    <row r="5" spans="1:17" x14ac:dyDescent="0.3">
      <c r="A5" t="s">
        <v>114</v>
      </c>
      <c r="B5" t="s">
        <v>113</v>
      </c>
      <c r="C5" t="s">
        <v>112</v>
      </c>
      <c r="F5" t="s">
        <v>21</v>
      </c>
      <c r="G5" t="s">
        <v>111</v>
      </c>
      <c r="H5" t="s">
        <v>16</v>
      </c>
      <c r="I5" t="s">
        <v>35</v>
      </c>
      <c r="J5" t="s">
        <v>21</v>
      </c>
      <c r="K5" t="s">
        <v>39</v>
      </c>
    </row>
    <row r="6" spans="1:17" x14ac:dyDescent="0.3">
      <c r="A6" t="s">
        <v>110</v>
      </c>
      <c r="B6" t="s">
        <v>109</v>
      </c>
      <c r="C6" t="s">
        <v>108</v>
      </c>
      <c r="F6" t="s">
        <v>21</v>
      </c>
      <c r="G6" t="s">
        <v>107</v>
      </c>
      <c r="H6" t="s">
        <v>16</v>
      </c>
      <c r="I6" t="s">
        <v>22</v>
      </c>
      <c r="J6" t="s">
        <v>21</v>
      </c>
      <c r="K6" t="s">
        <v>39</v>
      </c>
    </row>
    <row r="7" spans="1:17" x14ac:dyDescent="0.3">
      <c r="A7" t="s">
        <v>106</v>
      </c>
      <c r="B7" t="s">
        <v>105</v>
      </c>
      <c r="C7" t="s">
        <v>42</v>
      </c>
      <c r="D7">
        <v>22.75</v>
      </c>
      <c r="E7">
        <v>22.75</v>
      </c>
      <c r="F7" t="s">
        <v>24</v>
      </c>
      <c r="G7" t="s">
        <v>104</v>
      </c>
      <c r="H7" t="s">
        <v>16</v>
      </c>
      <c r="I7" t="s">
        <v>10</v>
      </c>
      <c r="J7" t="s">
        <v>103</v>
      </c>
      <c r="K7" t="s">
        <v>39</v>
      </c>
      <c r="N7" t="s">
        <v>125</v>
      </c>
      <c r="O7" t="s">
        <v>132</v>
      </c>
      <c r="P7" t="s">
        <v>131</v>
      </c>
    </row>
    <row r="8" spans="1:17" x14ac:dyDescent="0.3">
      <c r="A8" t="s">
        <v>102</v>
      </c>
      <c r="B8" t="s">
        <v>101</v>
      </c>
      <c r="C8" t="s">
        <v>13</v>
      </c>
      <c r="D8">
        <v>33.25</v>
      </c>
      <c r="E8">
        <v>52.25</v>
      </c>
      <c r="F8" t="s">
        <v>24</v>
      </c>
      <c r="G8" t="s">
        <v>100</v>
      </c>
      <c r="H8" t="s">
        <v>16</v>
      </c>
      <c r="I8" t="s">
        <v>21</v>
      </c>
      <c r="J8" t="s">
        <v>99</v>
      </c>
      <c r="K8" t="s">
        <v>39</v>
      </c>
      <c r="N8" t="s">
        <v>139</v>
      </c>
      <c r="O8" s="5">
        <v>61958.909090909088</v>
      </c>
      <c r="P8" s="5">
        <v>81989.559090909097</v>
      </c>
    </row>
    <row r="9" spans="1:17" x14ac:dyDescent="0.3">
      <c r="A9" t="s">
        <v>98</v>
      </c>
      <c r="B9" t="s">
        <v>97</v>
      </c>
      <c r="C9" t="s">
        <v>96</v>
      </c>
      <c r="D9">
        <v>21.39</v>
      </c>
      <c r="E9">
        <v>21.39</v>
      </c>
      <c r="F9" t="s">
        <v>24</v>
      </c>
      <c r="G9" t="s">
        <v>95</v>
      </c>
      <c r="H9" t="s">
        <v>16</v>
      </c>
      <c r="I9" t="s">
        <v>35</v>
      </c>
      <c r="J9" t="s">
        <v>9</v>
      </c>
      <c r="K9" t="s">
        <v>39</v>
      </c>
      <c r="N9" t="s">
        <v>140</v>
      </c>
      <c r="O9" s="5">
        <v>78233.333333333328</v>
      </c>
      <c r="P9" s="5">
        <v>123266.66666666667</v>
      </c>
    </row>
    <row r="10" spans="1:17" x14ac:dyDescent="0.3">
      <c r="A10" t="s">
        <v>94</v>
      </c>
      <c r="B10" t="s">
        <v>93</v>
      </c>
      <c r="C10" t="s">
        <v>13</v>
      </c>
      <c r="F10" t="s">
        <v>21</v>
      </c>
      <c r="G10" t="s">
        <v>92</v>
      </c>
      <c r="H10" t="s">
        <v>16</v>
      </c>
      <c r="I10" t="s">
        <v>35</v>
      </c>
      <c r="J10" t="s">
        <v>91</v>
      </c>
      <c r="K10" t="s">
        <v>39</v>
      </c>
    </row>
    <row r="11" spans="1:17" x14ac:dyDescent="0.3">
      <c r="A11" t="s">
        <v>90</v>
      </c>
      <c r="B11" t="s">
        <v>89</v>
      </c>
      <c r="C11" t="s">
        <v>88</v>
      </c>
      <c r="F11" t="s">
        <v>21</v>
      </c>
      <c r="G11" t="s">
        <v>87</v>
      </c>
      <c r="H11" t="s">
        <v>16</v>
      </c>
      <c r="I11" t="s">
        <v>10</v>
      </c>
      <c r="J11" t="s">
        <v>9</v>
      </c>
      <c r="K11" t="s">
        <v>39</v>
      </c>
    </row>
    <row r="12" spans="1:17" x14ac:dyDescent="0.3">
      <c r="A12" t="s">
        <v>86</v>
      </c>
      <c r="B12" t="s">
        <v>85</v>
      </c>
      <c r="C12" t="s">
        <v>25</v>
      </c>
      <c r="D12">
        <v>28</v>
      </c>
      <c r="E12">
        <v>43</v>
      </c>
      <c r="F12" t="s">
        <v>24</v>
      </c>
      <c r="G12" t="s">
        <v>84</v>
      </c>
      <c r="H12" t="s">
        <v>16</v>
      </c>
      <c r="I12" t="s">
        <v>10</v>
      </c>
      <c r="J12" t="s">
        <v>28</v>
      </c>
      <c r="K12" t="s">
        <v>8</v>
      </c>
    </row>
    <row r="13" spans="1:17" x14ac:dyDescent="0.3">
      <c r="A13" t="s">
        <v>83</v>
      </c>
      <c r="B13" t="s">
        <v>82</v>
      </c>
      <c r="C13" t="s">
        <v>81</v>
      </c>
      <c r="D13">
        <v>89000</v>
      </c>
      <c r="E13">
        <v>150000</v>
      </c>
      <c r="F13" t="s">
        <v>12</v>
      </c>
      <c r="G13" t="s">
        <v>80</v>
      </c>
      <c r="H13" t="s">
        <v>16</v>
      </c>
      <c r="I13" t="s">
        <v>35</v>
      </c>
      <c r="J13" t="s">
        <v>79</v>
      </c>
      <c r="K13" t="s">
        <v>8</v>
      </c>
    </row>
    <row r="14" spans="1:17" x14ac:dyDescent="0.3">
      <c r="A14" t="s">
        <v>78</v>
      </c>
      <c r="B14" t="s">
        <v>77</v>
      </c>
      <c r="C14" t="s">
        <v>76</v>
      </c>
      <c r="D14">
        <v>85000</v>
      </c>
      <c r="E14">
        <v>120000</v>
      </c>
      <c r="F14" t="s">
        <v>12</v>
      </c>
      <c r="G14" t="s">
        <v>75</v>
      </c>
      <c r="H14" t="s">
        <v>16</v>
      </c>
      <c r="I14" t="s">
        <v>10</v>
      </c>
      <c r="J14" t="s">
        <v>74</v>
      </c>
      <c r="K14" t="s">
        <v>8</v>
      </c>
    </row>
    <row r="15" spans="1:17" x14ac:dyDescent="0.3">
      <c r="A15" t="s">
        <v>73</v>
      </c>
      <c r="B15" t="s">
        <v>72</v>
      </c>
      <c r="C15" t="s">
        <v>13</v>
      </c>
      <c r="D15">
        <v>82000</v>
      </c>
      <c r="E15">
        <v>97600</v>
      </c>
      <c r="F15" t="s">
        <v>12</v>
      </c>
      <c r="G15" t="s">
        <v>71</v>
      </c>
      <c r="H15" t="s">
        <v>16</v>
      </c>
      <c r="I15" t="s">
        <v>10</v>
      </c>
      <c r="J15" t="s">
        <v>40</v>
      </c>
      <c r="K15" t="s">
        <v>8</v>
      </c>
    </row>
    <row r="16" spans="1:17" x14ac:dyDescent="0.3">
      <c r="A16" t="s">
        <v>70</v>
      </c>
      <c r="B16" t="s">
        <v>69</v>
      </c>
      <c r="C16" t="s">
        <v>13</v>
      </c>
      <c r="D16">
        <v>66100</v>
      </c>
      <c r="E16">
        <v>95700</v>
      </c>
      <c r="F16" t="s">
        <v>12</v>
      </c>
      <c r="G16" t="s">
        <v>68</v>
      </c>
      <c r="H16" t="s">
        <v>16</v>
      </c>
      <c r="I16" t="s">
        <v>10</v>
      </c>
      <c r="J16" t="s">
        <v>9</v>
      </c>
      <c r="K16" t="s">
        <v>8</v>
      </c>
    </row>
    <row r="17" spans="1:11" x14ac:dyDescent="0.3">
      <c r="A17" t="s">
        <v>67</v>
      </c>
      <c r="B17" t="s">
        <v>66</v>
      </c>
      <c r="C17" t="s">
        <v>65</v>
      </c>
      <c r="D17">
        <v>22.5</v>
      </c>
      <c r="E17">
        <v>25</v>
      </c>
      <c r="F17" t="s">
        <v>24</v>
      </c>
      <c r="G17" t="s">
        <v>64</v>
      </c>
      <c r="H17" t="s">
        <v>16</v>
      </c>
      <c r="I17" t="s">
        <v>22</v>
      </c>
      <c r="J17" t="s">
        <v>28</v>
      </c>
      <c r="K17" t="s">
        <v>39</v>
      </c>
    </row>
    <row r="18" spans="1:11" x14ac:dyDescent="0.3">
      <c r="A18" t="s">
        <v>63</v>
      </c>
      <c r="B18" t="s">
        <v>62</v>
      </c>
      <c r="C18" t="s">
        <v>61</v>
      </c>
      <c r="D18">
        <v>70900</v>
      </c>
      <c r="E18">
        <v>118100</v>
      </c>
      <c r="F18" t="s">
        <v>12</v>
      </c>
      <c r="G18" t="s">
        <v>60</v>
      </c>
      <c r="H18" t="s">
        <v>16</v>
      </c>
      <c r="I18" t="s">
        <v>10</v>
      </c>
      <c r="J18" t="s">
        <v>59</v>
      </c>
      <c r="K18" t="s">
        <v>8</v>
      </c>
    </row>
    <row r="19" spans="1:11" x14ac:dyDescent="0.3">
      <c r="A19" t="s">
        <v>58</v>
      </c>
      <c r="B19" t="s">
        <v>57</v>
      </c>
      <c r="C19" t="s">
        <v>13</v>
      </c>
      <c r="D19">
        <v>64600</v>
      </c>
      <c r="E19">
        <v>95000</v>
      </c>
      <c r="F19" t="s">
        <v>12</v>
      </c>
      <c r="G19" t="s">
        <v>56</v>
      </c>
      <c r="H19" t="s">
        <v>16</v>
      </c>
      <c r="I19" t="s">
        <v>10</v>
      </c>
      <c r="J19" t="s">
        <v>49</v>
      </c>
      <c r="K19" t="s">
        <v>33</v>
      </c>
    </row>
    <row r="20" spans="1:11" x14ac:dyDescent="0.3">
      <c r="A20" t="s">
        <v>55</v>
      </c>
      <c r="B20" t="s">
        <v>54</v>
      </c>
      <c r="C20" t="s">
        <v>13</v>
      </c>
      <c r="D20">
        <v>75000</v>
      </c>
      <c r="E20">
        <v>75000</v>
      </c>
      <c r="F20" t="s">
        <v>12</v>
      </c>
      <c r="G20" t="s">
        <v>53</v>
      </c>
      <c r="H20" t="s">
        <v>16</v>
      </c>
      <c r="I20" t="s">
        <v>10</v>
      </c>
      <c r="J20" t="s">
        <v>28</v>
      </c>
      <c r="K20" t="s">
        <v>8</v>
      </c>
    </row>
    <row r="21" spans="1:11" x14ac:dyDescent="0.3">
      <c r="A21" t="s">
        <v>52</v>
      </c>
      <c r="B21" t="s">
        <v>51</v>
      </c>
      <c r="C21" t="s">
        <v>13</v>
      </c>
      <c r="D21">
        <v>85000</v>
      </c>
      <c r="E21">
        <v>105000</v>
      </c>
      <c r="F21" t="s">
        <v>12</v>
      </c>
      <c r="G21" t="s">
        <v>50</v>
      </c>
      <c r="H21" t="s">
        <v>16</v>
      </c>
      <c r="I21" t="s">
        <v>35</v>
      </c>
      <c r="J21" t="s">
        <v>49</v>
      </c>
      <c r="K21" t="s">
        <v>33</v>
      </c>
    </row>
    <row r="22" spans="1:11" x14ac:dyDescent="0.3">
      <c r="A22" t="s">
        <v>48</v>
      </c>
      <c r="B22" t="s">
        <v>47</v>
      </c>
      <c r="C22" t="s">
        <v>18</v>
      </c>
      <c r="D22">
        <v>26</v>
      </c>
      <c r="E22">
        <v>26</v>
      </c>
      <c r="F22" t="s">
        <v>24</v>
      </c>
      <c r="G22" t="s">
        <v>46</v>
      </c>
      <c r="H22" t="s">
        <v>16</v>
      </c>
      <c r="I22" t="s">
        <v>35</v>
      </c>
      <c r="J22" t="s">
        <v>45</v>
      </c>
      <c r="K22" t="s">
        <v>39</v>
      </c>
    </row>
    <row r="23" spans="1:11" x14ac:dyDescent="0.3">
      <c r="A23" t="s">
        <v>44</v>
      </c>
      <c r="B23" t="s">
        <v>43</v>
      </c>
      <c r="C23" t="s">
        <v>42</v>
      </c>
      <c r="D23">
        <v>34</v>
      </c>
      <c r="E23">
        <v>40</v>
      </c>
      <c r="F23" t="s">
        <v>24</v>
      </c>
      <c r="G23" t="s">
        <v>41</v>
      </c>
      <c r="H23" t="s">
        <v>16</v>
      </c>
      <c r="I23" t="s">
        <v>35</v>
      </c>
      <c r="J23" t="s">
        <v>40</v>
      </c>
      <c r="K23" t="s">
        <v>39</v>
      </c>
    </row>
    <row r="24" spans="1:11" x14ac:dyDescent="0.3">
      <c r="A24" t="s">
        <v>27</v>
      </c>
      <c r="B24" t="s">
        <v>38</v>
      </c>
      <c r="C24" t="s">
        <v>37</v>
      </c>
      <c r="D24">
        <v>85100</v>
      </c>
      <c r="E24">
        <v>169800</v>
      </c>
      <c r="F24" t="s">
        <v>12</v>
      </c>
      <c r="G24" t="s">
        <v>36</v>
      </c>
      <c r="H24" t="s">
        <v>16</v>
      </c>
      <c r="I24" t="s">
        <v>35</v>
      </c>
      <c r="J24" t="s">
        <v>34</v>
      </c>
      <c r="K24" t="s">
        <v>33</v>
      </c>
    </row>
    <row r="25" spans="1:11" x14ac:dyDescent="0.3">
      <c r="A25" t="s">
        <v>32</v>
      </c>
      <c r="B25" t="s">
        <v>31</v>
      </c>
      <c r="C25" t="s">
        <v>30</v>
      </c>
      <c r="D25">
        <v>80900</v>
      </c>
      <c r="E25">
        <v>90000</v>
      </c>
      <c r="F25" t="s">
        <v>12</v>
      </c>
      <c r="G25" t="s">
        <v>29</v>
      </c>
      <c r="H25" t="s">
        <v>16</v>
      </c>
      <c r="I25" t="s">
        <v>10</v>
      </c>
      <c r="J25" t="s">
        <v>28</v>
      </c>
      <c r="K25" t="s">
        <v>8</v>
      </c>
    </row>
    <row r="26" spans="1:11" x14ac:dyDescent="0.3">
      <c r="A26" t="s">
        <v>27</v>
      </c>
      <c r="B26" t="s">
        <v>26</v>
      </c>
      <c r="C26" t="s">
        <v>25</v>
      </c>
      <c r="D26">
        <v>40</v>
      </c>
      <c r="E26">
        <v>42.15</v>
      </c>
      <c r="F26" t="s">
        <v>24</v>
      </c>
      <c r="G26" t="s">
        <v>23</v>
      </c>
      <c r="H26" t="s">
        <v>16</v>
      </c>
      <c r="I26" t="s">
        <v>22</v>
      </c>
      <c r="J26" t="s">
        <v>21</v>
      </c>
      <c r="K26" t="s">
        <v>8</v>
      </c>
    </row>
    <row r="27" spans="1:11" x14ac:dyDescent="0.3">
      <c r="A27" t="s">
        <v>20</v>
      </c>
      <c r="B27" t="s">
        <v>19</v>
      </c>
      <c r="C27" t="s">
        <v>18</v>
      </c>
      <c r="D27">
        <v>70000</v>
      </c>
      <c r="E27">
        <v>85000</v>
      </c>
      <c r="F27" t="s">
        <v>12</v>
      </c>
      <c r="G27" t="s">
        <v>17</v>
      </c>
      <c r="H27" t="s">
        <v>16</v>
      </c>
      <c r="I27" t="s">
        <v>10</v>
      </c>
      <c r="J27" t="s">
        <v>9</v>
      </c>
      <c r="K27" t="s">
        <v>8</v>
      </c>
    </row>
    <row r="28" spans="1:11" x14ac:dyDescent="0.3">
      <c r="A28" t="s">
        <v>15</v>
      </c>
      <c r="B28" t="s">
        <v>14</v>
      </c>
      <c r="C28" t="s">
        <v>13</v>
      </c>
      <c r="D28">
        <v>62580</v>
      </c>
      <c r="E28">
        <v>70400</v>
      </c>
      <c r="F28" t="s">
        <v>12</v>
      </c>
      <c r="G28" t="s">
        <v>11</v>
      </c>
      <c r="I28" t="s">
        <v>10</v>
      </c>
      <c r="J28" t="s">
        <v>9</v>
      </c>
      <c r="K28" t="s">
        <v>8</v>
      </c>
    </row>
  </sheetData>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workbookViewId="0">
      <selection activeCell="K26" sqref="K26"/>
    </sheetView>
  </sheetViews>
  <sheetFormatPr defaultRowHeight="14.4" x14ac:dyDescent="0.3"/>
  <cols>
    <col min="3" max="3" width="11.109375" bestFit="1" customWidth="1"/>
  </cols>
  <sheetData>
    <row r="1" spans="1:3" x14ac:dyDescent="0.3">
      <c r="A1" s="1" t="s">
        <v>0</v>
      </c>
      <c r="B1" s="1" t="s">
        <v>1</v>
      </c>
      <c r="C1" t="s">
        <v>6</v>
      </c>
    </row>
    <row r="2" spans="1:3" x14ac:dyDescent="0.3">
      <c r="A2" t="s">
        <v>2</v>
      </c>
      <c r="B2">
        <v>18</v>
      </c>
      <c r="C2" s="2">
        <f>B2/27</f>
        <v>0.66666666666666663</v>
      </c>
    </row>
    <row r="3" spans="1:3" x14ac:dyDescent="0.3">
      <c r="A3" t="s">
        <v>7</v>
      </c>
      <c r="B3">
        <v>17</v>
      </c>
      <c r="C3" s="2">
        <f t="shared" ref="C3:C6" si="0">B3/27</f>
        <v>0.62962962962962965</v>
      </c>
    </row>
    <row r="4" spans="1:3" x14ac:dyDescent="0.3">
      <c r="A4" t="s">
        <v>3</v>
      </c>
      <c r="B4">
        <v>8</v>
      </c>
      <c r="C4" s="2">
        <f t="shared" si="0"/>
        <v>0.29629629629629628</v>
      </c>
    </row>
    <row r="5" spans="1:3" x14ac:dyDescent="0.3">
      <c r="A5" t="s">
        <v>4</v>
      </c>
      <c r="B5">
        <v>8</v>
      </c>
      <c r="C5" s="2">
        <f t="shared" si="0"/>
        <v>0.29629629629629628</v>
      </c>
    </row>
    <row r="6" spans="1:3" x14ac:dyDescent="0.3">
      <c r="A6" t="s">
        <v>5</v>
      </c>
      <c r="B6">
        <v>5</v>
      </c>
      <c r="C6" s="2">
        <f t="shared" si="0"/>
        <v>0.18518518518518517</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scraped_data</vt:lpstr>
      <vt:lpstr>highest_demand_skills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Travis</cp:lastModifiedBy>
  <dcterms:created xsi:type="dcterms:W3CDTF">2026-04-01T00:24:27Z</dcterms:created>
  <dcterms:modified xsi:type="dcterms:W3CDTF">2026-04-02T00:20:01Z</dcterms:modified>
</cp:coreProperties>
</file>